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66925"/>
  <xr:revisionPtr revIDLastSave="0" documentId="13_ncr:1_{C5F20745-72AD-41B9-B2B4-D878FD74E62C}" xr6:coauthVersionLast="47" xr6:coauthVersionMax="47" xr10:uidLastSave="{00000000-0000-0000-0000-000000000000}"/>
  <bookViews>
    <workbookView xWindow="-120" yWindow="-120" windowWidth="20730" windowHeight="11160" tabRatio="903" firstSheet="1" activeTab="8" xr2:uid="{00000000-000D-0000-FFFF-FFFF00000000}"/>
  </bookViews>
  <sheets>
    <sheet name="Início" sheetId="2" r:id="rId1"/>
    <sheet name="SOMA" sheetId="22" r:id="rId2"/>
    <sheet name="MÍNIMO e MÁXIMO" sheetId="11" r:id="rId3"/>
    <sheet name="MÉDIA e ALEATÓRIO ENTRE" sheetId="23" r:id="rId4"/>
    <sheet name="CONT VALORES E CONT VAZIOS" sheetId="24" r:id="rId5"/>
    <sheet name="SOMA.SE" sheetId="26" r:id="rId6"/>
    <sheet name="SOMA.SES" sheetId="27" r:id="rId7"/>
    <sheet name="CONT.SE" sheetId="28" r:id="rId8"/>
    <sheet name="CONT.SES" sheetId="29" r:id="rId9"/>
    <sheet name="Data e hora" sheetId="10" state="hidden" r:id="rId10"/>
    <sheet name="Unir texto e números" sheetId="15" state="hidden" r:id="rId11"/>
    <sheet name="Instruções SE" sheetId="13" state="hidden" r:id="rId12"/>
    <sheet name="PROCV" sheetId="9" state="hidden" r:id="rId13"/>
    <sheet name="Funções condicionais" sheetId="7" state="hidden" r:id="rId14"/>
    <sheet name="Assistente de função" sheetId="20" state="hidden" r:id="rId15"/>
    <sheet name="Erros de fórmula" sheetId="21" state="hidden" r:id="rId16"/>
  </sheets>
  <definedNames>
    <definedName name="_xlnm._FilterDatabase" localSheetId="13" hidden="1">'Funções condicionais'!$F$2:$H$14</definedName>
  </definedNames>
  <calcPr calcId="191029"/>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29" l="1"/>
  <c r="J4" i="28"/>
  <c r="M5" i="27"/>
  <c r="K4" i="26"/>
  <c r="C3" i="24"/>
  <c r="C2" i="24"/>
  <c r="D7" i="23"/>
  <c r="D15" i="11"/>
  <c r="G7" i="11"/>
  <c r="D7" i="11"/>
  <c r="G7" i="22"/>
  <c r="D7" i="22"/>
  <c r="G15" i="11"/>
  <c r="F29" i="13"/>
  <c r="F28" i="13"/>
  <c r="F6" i="10" l="1"/>
  <c r="D12" i="13"/>
  <c r="E106" i="7" l="1"/>
  <c r="D36" i="10" l="1"/>
  <c r="A38" i="7"/>
  <c r="D10" i="20"/>
  <c r="D8" i="10"/>
  <c r="D9" i="21"/>
  <c r="F35" i="13"/>
  <c r="G43" i="9"/>
  <c r="D43" i="9"/>
  <c r="F3" i="15"/>
  <c r="E3" i="15"/>
  <c r="H64" i="7"/>
  <c r="D64" i="7"/>
  <c r="D123" i="7"/>
  <c r="D29" i="15"/>
  <c r="D28" i="15"/>
  <c r="D11" i="10"/>
  <c r="E31" i="13"/>
  <c r="D36" i="21"/>
  <c r="C33" i="15" l="1"/>
  <c r="C37" i="15"/>
  <c r="C32" i="15"/>
  <c r="C36" i="15"/>
  <c r="F31" i="13"/>
  <c r="F33" i="13" s="1"/>
  <c r="F37" i="13" s="1"/>
</calcChain>
</file>

<file path=xl/sharedStrings.xml><?xml version="1.0" encoding="utf-8"?>
<sst xmlns="http://schemas.openxmlformats.org/spreadsheetml/2006/main" count="774" uniqueCount="312">
  <si>
    <t>Volte ao início pressionando Ctrl+Home. Para iniciar o tour, pressione Ctrl+Page Down.</t>
  </si>
  <si>
    <t>Veja mais detalhes abaixo</t>
  </si>
  <si>
    <t>Próxima etapa</t>
  </si>
  <si>
    <t>Anterior</t>
  </si>
  <si>
    <t>Avançar</t>
  </si>
  <si>
    <t>Mais informações na Web</t>
  </si>
  <si>
    <t>Visão geral de fórmulas no Excel</t>
  </si>
  <si>
    <t>Treinamento grátis sobre o Excel online</t>
  </si>
  <si>
    <t>Voltar ao início</t>
  </si>
  <si>
    <t>Fruta</t>
  </si>
  <si>
    <t>Maçãs</t>
  </si>
  <si>
    <t>Laranjas</t>
  </si>
  <si>
    <t>Bananas</t>
  </si>
  <si>
    <t>Limões</t>
  </si>
  <si>
    <t>Item</t>
  </si>
  <si>
    <t>Pão</t>
  </si>
  <si>
    <t>Roscas</t>
  </si>
  <si>
    <t>Biscoitos</t>
  </si>
  <si>
    <t>Bolos</t>
  </si>
  <si>
    <t>Tortas</t>
  </si>
  <si>
    <t>Valor</t>
  </si>
  <si>
    <t>Montante</t>
  </si>
  <si>
    <t>Carne</t>
  </si>
  <si>
    <t>Vaca</t>
  </si>
  <si>
    <t>Frango</t>
  </si>
  <si>
    <t>Porco</t>
  </si>
  <si>
    <t>Peixe</t>
  </si>
  <si>
    <t>Função MÉDIA</t>
  </si>
  <si>
    <r>
      <t xml:space="preserve">Use a função </t>
    </r>
    <r>
      <rPr>
        <b/>
        <sz val="11"/>
        <color theme="0"/>
        <rFont val="Calibri"/>
        <family val="2"/>
      </rPr>
      <t>MÉDIA</t>
    </r>
    <r>
      <rPr>
        <sz val="11"/>
        <color theme="0"/>
        <rFont val="Calibri"/>
        <family val="2"/>
      </rPr>
      <t xml:space="preserve"> para obter a média dos números em um intervalo de células.</t>
    </r>
  </si>
  <si>
    <r>
      <t xml:space="preserve">Selecione a célula D7 e use a </t>
    </r>
    <r>
      <rPr>
        <b/>
        <sz val="11"/>
        <color theme="0"/>
        <rFont val="Calibri"/>
        <family val="2"/>
      </rPr>
      <t>AutoSoma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</si>
  <si>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insira uma função </t>
    </r>
    <r>
      <rPr>
        <b/>
        <sz val="11"/>
        <color theme="0"/>
        <rFont val="Calibri"/>
        <family val="2"/>
      </rPr>
      <t xml:space="preserve">MÉDIA </t>
    </r>
    <r>
      <rPr>
        <sz val="11"/>
        <color theme="0"/>
        <rFont val="Calibri"/>
        <family val="2"/>
      </rPr>
      <t xml:space="preserve">digitando </t>
    </r>
    <r>
      <rPr>
        <b/>
        <sz val="11"/>
        <color theme="0"/>
        <rFont val="Calibri"/>
        <family val="2"/>
      </rPr>
      <t xml:space="preserve">=MÉDIA(G3:G6). </t>
    </r>
  </si>
  <si>
    <r>
      <t xml:space="preserve">Na célula D15, você pode usar a </t>
    </r>
    <r>
      <rPr>
        <b/>
        <sz val="11"/>
        <color theme="0"/>
        <rFont val="Calibri"/>
        <family val="2"/>
      </rPr>
      <t>AutoSoma</t>
    </r>
    <r>
      <rPr>
        <sz val="11"/>
        <color theme="0"/>
        <rFont val="Calibri"/>
        <family val="2"/>
      </rPr>
      <t xml:space="preserve"> ou digitar para inserir outra função </t>
    </r>
    <r>
      <rPr>
        <b/>
        <sz val="11"/>
        <color theme="0"/>
        <rFont val="Calibri"/>
        <family val="2"/>
      </rPr>
      <t>MÉDIA</t>
    </r>
    <r>
      <rPr>
        <sz val="11"/>
        <color theme="0"/>
        <rFont val="Calibri"/>
        <family val="2"/>
      </rPr>
      <t xml:space="preserve">. </t>
    </r>
  </si>
  <si>
    <t xml:space="preserve">VEJA ISTO
Selecione qualquer intervalo de números e procure uma Média instantânea na barra de status.
</t>
  </si>
  <si>
    <t>Ativar a planilha anterior</t>
  </si>
  <si>
    <t>Avançar para a próxima planilha</t>
  </si>
  <si>
    <t xml:space="preserve">CRÉDITO ADICIONAL
Tente usar MED ou MODO aqui. 
MED retorna o valor médio do conjunto de dados, enquanto 
MODO retorna o valor que aparece com mais frequência.
</t>
  </si>
  <si>
    <t>Links para saber mais na Web</t>
  </si>
  <si>
    <t>Selecione para aprender tudo sobre a função MÉDIA na Web</t>
  </si>
  <si>
    <t>Selecione para aprender tudo sobre a função MED na Web</t>
  </si>
  <si>
    <t>Selecione para aprender tudo sobre a função MODO na Web</t>
  </si>
  <si>
    <t>Selecione para aprender sobre o treinamento de Excel online e gratuito na Web</t>
  </si>
  <si>
    <t>Se a função SOMA na célula D42 pudesse falar, diria isso: Some os valores nas células D38, D39, D40 e D41.</t>
  </si>
  <si>
    <t>Tudo sobre a função SOMASE</t>
  </si>
  <si>
    <t>Funções MÍNIMO e MÁXIMO</t>
  </si>
  <si>
    <r>
      <t xml:space="preserve">Use a função </t>
    </r>
    <r>
      <rPr>
        <b/>
        <sz val="10"/>
        <color theme="0"/>
        <rFont val="Calibri"/>
        <family val="2"/>
        <scheme val="minor"/>
      </rPr>
      <t>MÍNIMO</t>
    </r>
    <r>
      <rPr>
        <sz val="10"/>
        <color theme="0"/>
        <rFont val="Calibri"/>
        <family val="2"/>
        <scheme val="minor"/>
      </rPr>
      <t xml:space="preserve"> para obter o menor número em um intervalo de células.</t>
    </r>
  </si>
  <si>
    <r>
      <t xml:space="preserve">Use a função </t>
    </r>
    <r>
      <rPr>
        <b/>
        <sz val="10"/>
        <color theme="0"/>
        <rFont val="Calibri"/>
        <family val="2"/>
        <scheme val="minor"/>
      </rPr>
      <t>MÁXIMO</t>
    </r>
    <r>
      <rPr>
        <sz val="10"/>
        <color theme="0"/>
        <rFont val="Calibri"/>
        <family val="2"/>
        <scheme val="minor"/>
      </rPr>
      <t xml:space="preserve"> para obter o maior número em um intervalo de células.</t>
    </r>
  </si>
  <si>
    <t xml:space="preserve">Selecione a célula D7 e use o Assistente de AutoSoma para adicionar a função MÍNIMO.
</t>
  </si>
  <si>
    <t xml:space="preserve">Na célula D15, você pode usar o Assistente de AutoSoma ou digitar para inserir uma função MÍNIMO ou MÁXIMO. 
</t>
  </si>
  <si>
    <t xml:space="preserve">Mais informações na Web
</t>
  </si>
  <si>
    <t>Tudo sobre a função MÍNIMO</t>
  </si>
  <si>
    <t>Tudo sobre a função MÁXIMO</t>
  </si>
  <si>
    <t xml:space="preserve">É BOM SABER
Você pode usar MÍNIMO ou MÁXIMO com vários intervalos, ou valores, para mostrar o maior ou o menor desses valores, como em =MÍNIMO(A1:A10;B1:B10) ou =MÁXIMO(A1:A10;B1), em que B1 contém um valor limite, como 10; nesse caso, a fórmula nunca retornaria um resultado diferente de 10.
</t>
  </si>
  <si>
    <t>MÍNIMO &gt;</t>
  </si>
  <si>
    <t>MÍNIMO ou MÁXIMO &gt;</t>
  </si>
  <si>
    <t>MÁXIMO &gt;</t>
  </si>
  <si>
    <t>Funções de data</t>
  </si>
  <si>
    <t>O Excel pode fornecer a data atual com base nas configurações regionais do seu computador. Você também pode somar e subtrair datas.</t>
  </si>
  <si>
    <t xml:space="preserve">Veja a função HOJE, que fornece a data de hoje. Estas são funções dinâmicas ou voláteis, então, ao abrir sua pasta de trabalho amanhã, você verá a data de amanhã. Digite =HOJE() na célula D6. 
</t>
  </si>
  <si>
    <t xml:space="preserve">Subtrair datas: digite o seu próximo aniversário no formato DD/MM/AA na célula D7 e veja o Excel calcular quantos dias ainda faltam para esse dia usando =D7-D6 e colocar o resultado na célula D8.
</t>
  </si>
  <si>
    <t xml:space="preserve">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
</t>
  </si>
  <si>
    <t xml:space="preserve">É BOM SABER
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Ctrl+1, selecione e escolha um formato de data ou hora. </t>
  </si>
  <si>
    <t xml:space="preserve">DETALHE IMPORTANTE
Se não deseja que o Excel exiba um número negativo porque você ainda não inseriu seu aniversário, use uma função SE como esta: =SE(D7="";"";D7-D6), que significa: "SE D7 for igual a nada, mostre nada, caso contrário, mostre D7 menos D6".
</t>
  </si>
  <si>
    <t>Funções de hora</t>
  </si>
  <si>
    <t xml:space="preserve">O Excel pode fornecer a hora atual com base nas configurações regionais do seu computador. Você também pode somar e subtrair horas. Por exemplo, talvez seja necessário controlar quantas horas um funcionário trabalhou por semana e calcular o pagamento e as horas extras.
</t>
  </si>
  <si>
    <t xml:space="preserve">Na célula D28, digite =AGORA(), que fornecerá a hora atual e será atualizada sempre que o Excel fizer um cálculo. Se você precisar alterar o formato de hora, acesse Ctrl+1 &gt; Número &gt; Hora e escolha o formato desejado.
</t>
  </si>
  <si>
    <t>Se essa fórmula pudesse falar, diria: "Subtraia Hora de Saída de Hora de Entrada, depois subtraia Início do Almoço de Término do Almoço, em seguida multiplique o resultado por 24 para converter a hora fracionária do Excel em horas", ou =((Hora de Saída-Hora de Entrada)-(Término do Almoço-Início do Almoço))*24.</t>
  </si>
  <si>
    <t>Tudo sobre a função HOJE</t>
  </si>
  <si>
    <t>Tudo sobre a função AGORA</t>
  </si>
  <si>
    <t>Tudo sobre a função DATA</t>
  </si>
  <si>
    <t>Data de hoje:</t>
  </si>
  <si>
    <t>Seu aniversário:</t>
  </si>
  <si>
    <t>Dias até o seu aniversário:</t>
  </si>
  <si>
    <t>Dias no período de carência:</t>
  </si>
  <si>
    <t>Vencimento da conta em:</t>
  </si>
  <si>
    <t>Hora atual:</t>
  </si>
  <si>
    <t>Horas diárias trabalhadas</t>
  </si>
  <si>
    <t>Hora de Entrada:</t>
  </si>
  <si>
    <t>Início do Almoço:</t>
  </si>
  <si>
    <t>Término do Almoço:</t>
  </si>
  <si>
    <t>Hora de Saída:</t>
  </si>
  <si>
    <t>Total de horas:</t>
  </si>
  <si>
    <t>Data e hora estáticas</t>
  </si>
  <si>
    <t>Data:</t>
  </si>
  <si>
    <t>Hora:</t>
  </si>
  <si>
    <t>Unir texto de células diferentes</t>
  </si>
  <si>
    <t xml:space="preserve">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(&amp;), que você pode inserir com Shift+7.
</t>
  </si>
  <si>
    <t xml:space="preserve">Na célula E3, digite =D3&amp;C3 para unir o sobrenome e o nome. 
</t>
  </si>
  <si>
    <t xml:space="preserve">CardosoLara não soa muito bem, não é? É necessário adicionar uma vírgula e um espaço. Para fazer isso, usaremos aspas para criar uma nova cadeia de texto. Desta vez, digite =D3&amp;";"&amp;C3. A parte &amp; "," &amp; permite colocar uma vírgula e um espaço com o texto nas células.
</t>
  </si>
  <si>
    <t xml:space="preserve">Para criar o nome completo, uniremos o nome e o sobrenome, mas usaremos um espaço sem a vírgula. Na célula F3, digite =C3&amp;" "&amp;D3.
</t>
  </si>
  <si>
    <t>Usar texto e números juntos</t>
  </si>
  <si>
    <t>Agora vamos usar o &amp; para unir texto e números, não apenas para texto e texto
Veja as células C28:D29. Vê como a data e as horas estão em células separadas? Você pode uni-las com o símbolo &amp;,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TEXTO e um código de formatação.</t>
  </si>
  <si>
    <t xml:space="preserve">Na célula C36, digite =C28&amp;" "&amp;TEXTO(D28;"DD/MM/AAAA"). DD/MM/AAAA é o código de formatação brasileiro para dia/mês/ano, como 25/09/2017.
</t>
  </si>
  <si>
    <t>VEJA ISTO
Fórmulas, especialmente as grandes, podem às vezes ser difíceis de ler, mas você pode dividi-las com espaços, assim:
=C28 &amp; " " &amp; TEXTO(D28;"DD/MM/AAAA")</t>
  </si>
  <si>
    <t>VALE A PENA EXPLORAR
Se você não sabe qual código de formatação usar, use Ctrl+1 &gt; Número para formatar qualquer célula da maneira desejada. Em seguida, selecione a opção Personalizado. Você pode copiar o código de formatação que é exibido para sua fórmula.</t>
  </si>
  <si>
    <t>Tudo sobre a função TEXTO</t>
  </si>
  <si>
    <t>Combinar texto e números</t>
  </si>
  <si>
    <t>Nome</t>
  </si>
  <si>
    <t>Lara</t>
  </si>
  <si>
    <t>Paulo</t>
  </si>
  <si>
    <t>Brenda</t>
  </si>
  <si>
    <t>Mila</t>
  </si>
  <si>
    <t>Nicolau</t>
  </si>
  <si>
    <t>Pedro</t>
  </si>
  <si>
    <t>Vinícius</t>
  </si>
  <si>
    <t>Maria Eduarda</t>
  </si>
  <si>
    <t>Usar texto e números</t>
  </si>
  <si>
    <t>Unir texto e números</t>
  </si>
  <si>
    <t>Formatar texto e números</t>
  </si>
  <si>
    <t>Sobrenome</t>
  </si>
  <si>
    <t>Cardoso</t>
  </si>
  <si>
    <t>Araújo</t>
  </si>
  <si>
    <t>Fernandes</t>
  </si>
  <si>
    <t>Moraes</t>
  </si>
  <si>
    <t>Mendes</t>
  </si>
  <si>
    <t>Gonçalves</t>
  </si>
  <si>
    <t>Monte</t>
  </si>
  <si>
    <t>Schmidt</t>
  </si>
  <si>
    <t>Sobrenome, Nome</t>
  </si>
  <si>
    <t>Nome completo</t>
  </si>
  <si>
    <t>Instruções SE</t>
  </si>
  <si>
    <t>Instruções SE possibilitam que você faça comparações lógicas entre condições. Uma instrução SE geralmente diz o seguinte: se uma condição é verdadeira, faça tal coisa; caso contrário, faça outra coisa. As fórmulas podem retornar texto, valores ou ainda mais cálculos.</t>
  </si>
  <si>
    <t xml:space="preserve">Na célula D9, insira =SE(C9="Maçã";VERDADEIRO;FALSO). A resposta correta é VERDADEIRO. 
</t>
  </si>
  <si>
    <t xml:space="preserve">Copie o conteúdo de D9 para D10. A resposta aqui deve ser FALSO, já que Laranja não é Maçã.
</t>
  </si>
  <si>
    <t xml:space="preserve">Tente outro exemplo; veja a fórmula na célula D12. Você começou com =SE(C12&lt;100;"Menor que 100";"Maior ou igual a 100"). O que acontece se você inserir um número maior do que 100 na célula C12?
</t>
  </si>
  <si>
    <t>DETALHE IMPORTANTE
VERDADEIRO e FALSO são diferentes de outras palavras em fórmulas do Excel, porque não precisam estar entre aspas, e o Excel as coloca automaticamente em maiúsculas. Os números também não precisam estar entre aspas. Texto normal, como Sim ou Não, precisam estar entre aspas, assim: 
=SE(C9="Maçã","Sim","Não")</t>
  </si>
  <si>
    <t>Instrução SE com outra função</t>
  </si>
  <si>
    <t xml:space="preserve">Instruções SE também podem forçar a realização de cálculos adicionais se uma determinada condição for atendida. Aqui, vamos avaliar uma célula para ver se o Imposto sobre vendas deve ser cobrado e calcular se a condição é verdadeira.
</t>
  </si>
  <si>
    <t>Na célula F33, digitamos =SE(E33="Sim";F31*ImpostoSobreVendas;0), onde definimos o Imposto sobre vendas como um Intervalo nomeado com um valor de 0,0825. Nossa fórmula diz que se a célula E33 é igual a Sim, então multiplique a célula F31 por Imposto sobre vendas, caso contrário, retorne 0.
Tente alterar Sim para Não na célula E33 para ver o cálculo mudar.</t>
  </si>
  <si>
    <t xml:space="preserve">Em seguida, adicionamos uma instrução SE para calcular o envio, se ele for obrigatório. Na célula F35 você verá =SE(E35="Sim";SOMA(D28:D29)*1,25;0). A fórmula significa que: se a célula E35 é Sim, faça a soma da coluna Quantidade na tabela acima e multiplique o resultado por 1,25; caso contrário, retorne 0.
</t>
  </si>
  <si>
    <t xml:space="preserve">Em seguida, altere 1,25 na fórmula da célula F35 para "Remessa".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
</t>
  </si>
  <si>
    <t>É BOM SABER
Ao criar uma fórmula, o Excel coloca automaticamente bordas coloridas ao redor de quaisquer intervalos presentes na fórmula, e os intervalos correspondentes na fórmula ficarão na mesma cor. Você pode ver isto se selecionar a célula F33 e pressionar F2 para editar a fórmula.</t>
  </si>
  <si>
    <t xml:space="preserve">DICA ESPECIALIZADA
Intervalos nomeados possibilitam definir os termos ou valores em um único local e reutilizá-los em toda a pasta de trabalho. Você pode ver todos os intervalos nomeados nesta pasta de trabalho acessando Fórmulas &gt; Gerenciador de Nomes. Clique aqui para saber mais
</t>
  </si>
  <si>
    <t>Tudo sobre a função SE</t>
  </si>
  <si>
    <t>Tudo sobre a função SES</t>
  </si>
  <si>
    <t>Instruções SE avançadas</t>
  </si>
  <si>
    <t>Maçã</t>
  </si>
  <si>
    <t>Laranja</t>
  </si>
  <si>
    <t>Widget</t>
  </si>
  <si>
    <t>Geringonça</t>
  </si>
  <si>
    <t>Quantidade</t>
  </si>
  <si>
    <t>Subtotal</t>
  </si>
  <si>
    <t>Imposto sobre vendas?</t>
  </si>
  <si>
    <t>Remessa?</t>
  </si>
  <si>
    <t>Total</t>
  </si>
  <si>
    <t>Custo</t>
  </si>
  <si>
    <t>Sim</t>
  </si>
  <si>
    <t>PROCV</t>
  </si>
  <si>
    <t xml:space="preserve">PROCV é uma das funções mais utilizadas no Excel (e uma de nossas favoritas também!). PROCV possibilita pesquisar um valor em uma coluna à esquerda e, em seguida, retorna informações em outra coluna à direita se encontrar uma correspondência. PROCV diz:
</t>
  </si>
  <si>
    <t>=PROCV(A1;B:C;2;FALSO)</t>
  </si>
  <si>
    <t>O que você gostaria de procurar?</t>
  </si>
  <si>
    <t>Se encontrar, a quantas colunas à direita está o valor a obter?</t>
  </si>
  <si>
    <t>Onde você gostaria de procurar?</t>
  </si>
  <si>
    <t>Você deseja uma correspondência exata ou aproximada?</t>
  </si>
  <si>
    <t xml:space="preserve">Na célula D22, digite =PROCV(C22;C17:D20;2;FALSO). A resposta correta para Maçãs é 50. PROCV procurou por Maçãs, encontrou e foi para a coluna à direita e retornou o valor.
</t>
  </si>
  <si>
    <t xml:space="preserve">Experimente agora na seção Carne, na célula G22. Você deve ficar com a fórmula =PROCV(F22;F17:G20;2;FALSO).
</t>
  </si>
  <si>
    <t>EXPERIMENTO
Tente selecionar diferentes itens nas listas suspensas. Você verá as células de resultado mudarem instantaneamente com novos valores.</t>
  </si>
  <si>
    <t>PROCV e #N/D</t>
  </si>
  <si>
    <t xml:space="preserve">Invariavelmente, você se deparará com uma situação em que PROCV não consegue encontrar o solicitado e retorna um erro (#N/D). Às vezes, é porque o valor de pesquisa simplesmente não existe ou porque a célula de referência ainda não tem um valor.
</t>
  </si>
  <si>
    <t xml:space="preserve">Se você souber que o valor de pesquisa existe, mas deseja ocultar o erro se a célula de pesquisa estiver vazia, pode usar uma instrução SE. Nesse caso, vamos colocar nossa fórmula PROCV existente desta forma na célula D43:
=SE(C43="";"";PROCV(C43;C37:D41;2;FALSO))
Isso informa que se a célula C43 é igual a nada (""), retorne nada, caso contrário, retorne os resultados de PROCV. Observe o segundo parêntese de fechamento no final da fórmula. Isso fecha a instrução SE.
</t>
  </si>
  <si>
    <t xml:space="preserve">Se não tiver certeza de que o valor de pesquisa existe, mas ainda assim deseja suprimir o erro #N/D, é possível usar uma função de tratamento de erros chamada SEERRO na célula G43: =SEERRO(PROCV(F43;F37:G41;2;FALSO);""). SEERRO informa que se a função PROCV retorna um resultado válido, exiba este resultado, caso contrário, não exiba nada (""). Aqui exibimos nada (""), mas você também pode usar números (0,1, 2, etc.), ou um texto, como "A fórmula não está correta".
</t>
  </si>
  <si>
    <t>DETALHE IMPORTANTE
SEERRO é conhecida como uma função de tratamento de erros, ou seja, ela suprime todos os erros que sua fórmula pode gerar. Isso pode causar problemas se o Excel oferecer uma notificação de que sua fórmula tem um erro legítimo precisa ser corrigido.
Uma prática comum é não adicionar funções de tratamento de erros em suas fórmulas até ter certeza absoluta de que elas funcionam corretamente.</t>
  </si>
  <si>
    <t>Tudo sobre a função PROCV</t>
  </si>
  <si>
    <t>Tudo sobre as funções ÍNDICE/CORRESP</t>
  </si>
  <si>
    <t>Tudo sobre a função SEERRO</t>
  </si>
  <si>
    <t>Usar as Tabelas Dinâmicas para analisar dados de planilha</t>
  </si>
  <si>
    <t>Massas</t>
  </si>
  <si>
    <t>Funções condicionais: SOMASE</t>
  </si>
  <si>
    <t>Funções condicionais possibilitam calcular a soma, a média, fazer a contagem ou obter o mínimo ou o máximo de um intervalo com base em uma determinada condição ou critérios especificados por você. Tais como: de todas as frutas na lista, quantas são maçãs? Ou, quantas laranjas são do tipo laranja da Bahia?</t>
  </si>
  <si>
    <t>SOMASE permite somar em um intervalo com base em critérios específicos usados em outro intervalo, como quantas maçãs você tem. Selecione a célula D17 e digite =SOMASE(C3:C14;C17;D3:D14). A função SOMASE é estruturada assim:</t>
  </si>
  <si>
    <t>=SOMASE(C3:C14;C17;D3:D14)</t>
  </si>
  <si>
    <t>Qual intervalo você deseja examinar?</t>
  </si>
  <si>
    <t>Que valor (texto ou número) você deseja procurar?</t>
  </si>
  <si>
    <t>Para cada correspondência encontrada, a qual intervalo você deseja somar?</t>
  </si>
  <si>
    <t xml:space="preserve">SOMASES é o mesmo que SOMASE, mas permite que você use vários critérios. Portanto, neste exemplo você pode procurar Frutas e Tipo, ao invés de apenas por Fruta. Selecione a célula H17 e digite =SOMASES(H3:H14;F3:F14;F17;G3:G14;G17). A função SOMASES é estruturada assim:
</t>
  </si>
  <si>
    <t>=SOMASES(H3:H14;F3:F14;F17;G3:G14;G17)</t>
  </si>
  <si>
    <t>Qual intervalo você deseja somar?</t>
  </si>
  <si>
    <t>Este é o primeiro intervalo a ser examinado por correspondências</t>
  </si>
  <si>
    <t>Estes são os critérios para a primeira correspondência</t>
  </si>
  <si>
    <t>Este é o segundo intervalo a ser examinado por correspondências</t>
  </si>
  <si>
    <t>Estes são os critérios para a segunda correspondência</t>
  </si>
  <si>
    <t>DICA ESPECIALIZADA
Cada uma das células de Frutas e Tipo tem uma lista suspensa, em que é possível selecionar diferentes frutas. Experimente e observe as fórmulas atualizarem automaticamente.</t>
  </si>
  <si>
    <t>Funções condicionais: CONT.SE</t>
  </si>
  <si>
    <t>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t>
  </si>
  <si>
    <t>Selecione a célula D64 e digite =CONT.SE(C50:C61;C64). A função CONT.SE é estruturada assim:</t>
  </si>
  <si>
    <t>=CONT.SE(C50:C61;C64)</t>
  </si>
  <si>
    <r>
      <t>CONT.SES</t>
    </r>
    <r>
      <rPr>
        <b/>
        <sz val="11"/>
        <rFont val="Calibri"/>
      </rPr>
      <t xml:space="preserve"> </t>
    </r>
    <r>
      <rPr>
        <sz val="11"/>
        <color theme="1"/>
        <rFont val="Calibri"/>
        <family val="2"/>
      </rPr>
      <t xml:space="preserve">é o mesmo que CONT.SE, mas permite que você use vários critérios. Portanto, neste exemplo você pode procurar Frutas e Tipo, ao invés de apenas por Fruta. Selecione a célula H64 e digite =CONT.SES(F50:F61;F64;G50:G61;G64). A função CONT.SES é estruturada assim:
</t>
    </r>
  </si>
  <si>
    <t>=CONT.SES(F50:F61;F64;G50:G61;G64)</t>
  </si>
  <si>
    <t>Este é o primeiro intervalo a contar</t>
  </si>
  <si>
    <t>Este é o segundo intervalo a contar</t>
  </si>
  <si>
    <t>Mais funções condicionais</t>
  </si>
  <si>
    <t>SOMASE com um argumento de valor</t>
  </si>
  <si>
    <t>Este é um exemplo de como a função SOMASE usa "maior que" (&gt;) para encontrar todos os valores maiores que um determinado valor:</t>
  </si>
  <si>
    <t>Some alguns valores com base neste critério:</t>
  </si>
  <si>
    <t>Examine estas células...
 </t>
  </si>
  <si>
    <t>e se o valor for maior que 50, some-o.
 </t>
  </si>
  <si>
    <t>OBSERVAÇÃO: se você achar que está usando muitas fórmulas condicionais, talvez considere uma Tabela Dinâmica como a melhor solução. Consulte este artigo sobre Tabela Dinâmica para saber mais.</t>
  </si>
  <si>
    <t>Tudo sobre a função SOMASES</t>
  </si>
  <si>
    <t>Tudo sobre a função CONT.SE</t>
  </si>
  <si>
    <t>Tudo sobre a função CONT.SES</t>
  </si>
  <si>
    <t>Tudo sobre a função MÉDIASE</t>
  </si>
  <si>
    <t>Tudo sobre a função MÉDIASES</t>
  </si>
  <si>
    <t>Tudo sobre a função MÍNIMOSES</t>
  </si>
  <si>
    <t>Tudo sobre a função MÁXIMOSES</t>
  </si>
  <si>
    <t>Criar uma lista suspensa</t>
  </si>
  <si>
    <t>SOMASE</t>
  </si>
  <si>
    <t>CONT.SE</t>
  </si>
  <si>
    <t>Tipo</t>
  </si>
  <si>
    <t>Fuji</t>
  </si>
  <si>
    <t>da Bahia</t>
  </si>
  <si>
    <t>D’água</t>
  </si>
  <si>
    <t>Cravo</t>
  </si>
  <si>
    <t>Gala</t>
  </si>
  <si>
    <t>Seleta</t>
  </si>
  <si>
    <t>Ouro</t>
  </si>
  <si>
    <t>Siciliano</t>
  </si>
  <si>
    <t>Experimente</t>
  </si>
  <si>
    <t>SOMASES</t>
  </si>
  <si>
    <t>CONT.SES</t>
  </si>
  <si>
    <t>Permitir que o Assistente de Função o oriente</t>
  </si>
  <si>
    <t xml:space="preserve">Se souber o nome da função desejada, mas não estiver certo sobre como criá-la, você pode usar o Assistente de função para ajudá-lo.
</t>
  </si>
  <si>
    <t xml:space="preserve">Selecione a célula D10 e acesse Fórmulas &gt; Inserir Função &gt; digite PROCV na caixa Procure por uma função e pressione IR. Quando vir PROCV realçada, clique em OK na parte inferior. Ao selecionar uma função na lista, o Excel exibe sua sintaxe.
</t>
  </si>
  <si>
    <t xml:space="preserve">Em seguida, insira os argumentos da função em suas respectivas caixas de texto. Enquanto você digita cada um deles, o Excel os avalia e exibe o resultado, com o resultado final na parte inferior. Ao digitar cada seção, os critérios para cada argumento são listados na parte inferior do formulário. Pressione OK quando terminar e o Excel insere a fórmula.
</t>
  </si>
  <si>
    <t>VEJA ISTO
Você deve ficar com a fórmula =PROCV(C10;C5:D8;2;FALSO).</t>
  </si>
  <si>
    <t>É BOM SABER
Você pode digitar as referências de célula e intervalo ou selecioná-las com o mouse.</t>
  </si>
  <si>
    <t xml:space="preserve">É BOM SABER
Enquanto você digita a seção de cada argumento, a descrição do argumento é exibida na parte inferior do formulário, acima do resultado da fórmula.
</t>
  </si>
  <si>
    <t>Funções do Excel (por categoria)</t>
  </si>
  <si>
    <t>Funções do Excel (em ordem alfabética)</t>
  </si>
  <si>
    <t>Corrigir erros de fórmula</t>
  </si>
  <si>
    <t xml:space="preserve">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
</t>
  </si>
  <si>
    <t xml:space="preserve">Verificação de erros: acesse Fórmulas &gt; Verificação de erros. Isso carregará uma caixa de diálogo que informa a causa geral para o erro específico. Na célula D9, o erro #N/D ocorre porque não há nenhum valor que corresponde a "Maçã". Você pode corrigir esse problema usando um valor que existe, suprimir o erro com SEERRO ou ignorá-lo e saber que ele desaparecerá quando você usar um valor que existe.
</t>
  </si>
  <si>
    <t xml:space="preserve">Se você clicar em Ajuda sobre este Erro, um tópico da Ajuda relacionado especificamente à mensagem de erro será exibido. Se você clicar em Mostrar etapas de cálculo, será carregada uma caixa de diálogo Avaliar fórmula.
</t>
  </si>
  <si>
    <t xml:space="preserve">Sempre que você clica em Avaliar, o Excel o orienta pela fórmula, uma seção por vez. Ele não vai necessariamente dizer por quê o erro ocorre, mas apontará onde está o erro. A partir daí, veja o tópico da Ajuda para deduzir o que deu errado na fórmula.
</t>
  </si>
  <si>
    <t>EXPERIMENTO
O que há de errado aqui? Dica: estamos tentando fazer a SOMA de todos os itens.</t>
  </si>
  <si>
    <t xml:space="preserve">É BOM SABER
Ao clicar em Opções, é possível definir as regras para quando os erros no Excel são exibidos ou ignorados.
</t>
  </si>
  <si>
    <t>Detectar erros em fórmulas</t>
  </si>
  <si>
    <t>Como evitar fórmulas quebradas</t>
  </si>
  <si>
    <t>Avalie uma fórmula aninhada uma etapa por vez</t>
  </si>
  <si>
    <t xml:space="preserve">Somar horas entre outras horas: na célula D36 inserimos =((D35-D32)-(D34-D33))*24,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Página Inicial &gt; Formatar &gt; Células (Ctrl+1) &gt; Número &gt; Número &gt; 2 casas decimais.
</t>
  </si>
  <si>
    <t xml:space="preserve">Agora selecione a célula G7 e insira uma função MÁXIMO digitando =MÁXIMO(G3:G6).
</t>
  </si>
  <si>
    <t xml:space="preserve">Na célula C37, digite =C29&amp;" "&amp;TEXTO(D29;"H:MM"). H:MM é o código de formatação brasileiro para Horas:Minutos, com as horas no formato de 24 horas, tal como 13:30.
</t>
  </si>
  <si>
    <t>Você já viu as funções SOMASE, SOMASES, CONT.SE e CONT. SES. Agora você pode experimentar outras funções, como MÉDIASE/S, MÁXIMOSES e MÍNIMOSES.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
SOMASE 	=SOMASE(C92:C103;C106;E92:E103) 
SOMASES 	=SOMASES(E92:E103;C92:C103;C106;D92:D103;D106) 
MÉDIASE 	=MÉDIASE(C92:C103;C106;E92:E103) 
MÉDIASES	=MÉDIASES(E92:E103;C92:C103;C106;D92:D103;D106)
CONT.SE 	=CONT.SE(C92:C103;C106)
CONT.SES 	=CONT.SES(C92:C103;C106;D92:D103;D106) 
MÁXIMOSES 	=MÁXIMOSES(E92:E103;C92:C103;C106;D92:D103;D106)
MÍNIMOSES 	=MÍNIMOSES(E92:E103;C92:C103;C106;D92:D103;D106)</t>
  </si>
  <si>
    <t>Fórmulas Matemáticas</t>
  </si>
  <si>
    <t>SOMA &gt;</t>
  </si>
  <si>
    <t>Idade</t>
  </si>
  <si>
    <t>Cidade</t>
  </si>
  <si>
    <t>Cargo</t>
  </si>
  <si>
    <t>Ana</t>
  </si>
  <si>
    <t>São Paulo</t>
  </si>
  <si>
    <t>Desenvolvedora</t>
  </si>
  <si>
    <t>Bruno</t>
  </si>
  <si>
    <t>Rio de Janeiro</t>
  </si>
  <si>
    <t>Analista</t>
  </si>
  <si>
    <t>Carlos</t>
  </si>
  <si>
    <t>Designer</t>
  </si>
  <si>
    <t>Diana</t>
  </si>
  <si>
    <t>Belo Horizonte</t>
  </si>
  <si>
    <t>Gerente</t>
  </si>
  <si>
    <t>Elisa</t>
  </si>
  <si>
    <t>Curitiba</t>
  </si>
  <si>
    <t>Departamento</t>
  </si>
  <si>
    <t>Data de Início</t>
  </si>
  <si>
    <t>Salário</t>
  </si>
  <si>
    <t>TI</t>
  </si>
  <si>
    <t>Marketing</t>
  </si>
  <si>
    <t>Design</t>
  </si>
  <si>
    <t>RH</t>
  </si>
  <si>
    <t>Financeiro</t>
  </si>
  <si>
    <t>Felipe</t>
  </si>
  <si>
    <t>Salvador</t>
  </si>
  <si>
    <t>Desenvolvedor</t>
  </si>
  <si>
    <t>Gabriela</t>
  </si>
  <si>
    <t>Porto Alegre</t>
  </si>
  <si>
    <t>Coordenadora</t>
  </si>
  <si>
    <t>Hugo</t>
  </si>
  <si>
    <t>Isabella</t>
  </si>
  <si>
    <t>João</t>
  </si>
  <si>
    <t>Performance</t>
  </si>
  <si>
    <t>Alta</t>
  </si>
  <si>
    <t>Baixa</t>
  </si>
  <si>
    <t>Média</t>
  </si>
  <si>
    <t>DEV</t>
  </si>
  <si>
    <t>Dados</t>
  </si>
  <si>
    <t>Produto</t>
  </si>
  <si>
    <t>Categoria</t>
  </si>
  <si>
    <t>Estoque</t>
  </si>
  <si>
    <t>Preço</t>
  </si>
  <si>
    <t>Desconto (%)</t>
  </si>
  <si>
    <t>Camisa</t>
  </si>
  <si>
    <t>Roupas</t>
  </si>
  <si>
    <t>Calça</t>
  </si>
  <si>
    <t>Tenis</t>
  </si>
  <si>
    <t>Calçados</t>
  </si>
  <si>
    <t>Bolsa</t>
  </si>
  <si>
    <t>Acessórios</t>
  </si>
  <si>
    <t>Jaqueta</t>
  </si>
  <si>
    <t>Chapéu</t>
  </si>
  <si>
    <t>Tênis</t>
  </si>
  <si>
    <t>Sapatilha</t>
  </si>
  <si>
    <t>Saia</t>
  </si>
  <si>
    <t>Óculos</t>
  </si>
  <si>
    <t>Maria</t>
  </si>
  <si>
    <t>Silvera</t>
  </si>
  <si>
    <t>Aluno</t>
  </si>
  <si>
    <t>Nota</t>
  </si>
  <si>
    <t>Média &gt;</t>
  </si>
  <si>
    <t>Total de Custo</t>
  </si>
  <si>
    <t>Ricardo</t>
  </si>
  <si>
    <t>Data</t>
  </si>
  <si>
    <t>Dev</t>
  </si>
  <si>
    <t>Coordenador</t>
  </si>
  <si>
    <t>Qtd na categoria</t>
  </si>
  <si>
    <t>&gt;=30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</si>
</sst>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R$&quot;\ #,##0.00;[Red]\-&quot;R$&quot;\ #,##0.00"/>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d/mm/yy;@"/>
    <numFmt numFmtId="167" formatCode="[$-F400]h:mm:ss\ AM/PM"/>
    <numFmt numFmtId="168" formatCode="h:mm;@"/>
  </numFmts>
  <fonts count="4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u/>
      <sz val="11"/>
      <color theme="10"/>
      <name val="Calibri"/>
      <family val="2"/>
    </font>
    <font>
      <sz val="54"/>
      <color theme="0"/>
      <name val="Segoe UI"/>
      <family val="2"/>
    </font>
    <font>
      <sz val="22"/>
      <color rgb="FF3B3838"/>
      <name val="Segoe UI Light"/>
      <family val="2"/>
    </font>
    <font>
      <b/>
      <sz val="11"/>
      <color theme="4"/>
      <name val="Segoe UI Black"/>
      <family val="2"/>
    </font>
    <font>
      <b/>
      <sz val="11"/>
      <color theme="0"/>
      <name val="Calibri"/>
      <family val="2"/>
    </font>
    <font>
      <b/>
      <sz val="11"/>
      <name val="Calibri"/>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43"/>
      <color theme="0"/>
      <name val="Segoe UI"/>
      <family val="2"/>
    </font>
    <font>
      <sz val="16"/>
      <color theme="1"/>
      <name val="Calibri"/>
      <family val="2"/>
      <scheme val="minor"/>
    </font>
    <font>
      <sz val="18"/>
      <color theme="1"/>
      <name val="Calibri"/>
      <family val="2"/>
      <scheme val="minor"/>
    </font>
  </fonts>
  <fills count="39">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8" fillId="0" borderId="0" applyFill="0" applyBorder="0">
      <alignment wrapText="1"/>
    </xf>
    <xf numFmtId="0" fontId="5" fillId="0" borderId="0"/>
    <xf numFmtId="0" fontId="9" fillId="2" borderId="0" applyNumberFormat="0" applyProtection="0">
      <alignment horizontal="left" wrapText="1" indent="4"/>
    </xf>
    <xf numFmtId="0" fontId="8" fillId="2" borderId="0" applyNumberFormat="0" applyProtection="0">
      <alignment horizontal="left" wrapText="1" indent="4"/>
    </xf>
    <xf numFmtId="0" fontId="10" fillId="0" borderId="0"/>
    <xf numFmtId="0" fontId="10" fillId="3" borderId="0" applyNumberFormat="0" applyBorder="0" applyProtection="0"/>
    <xf numFmtId="0" fontId="5" fillId="4" borderId="0"/>
    <xf numFmtId="0" fontId="5" fillId="5" borderId="1"/>
    <xf numFmtId="0" fontId="5" fillId="4" borderId="2"/>
    <xf numFmtId="0" fontId="5" fillId="0" borderId="0"/>
    <xf numFmtId="0" fontId="5" fillId="4" borderId="0"/>
    <xf numFmtId="0" fontId="5" fillId="5" borderId="1"/>
    <xf numFmtId="0" fontId="5" fillId="4" borderId="2"/>
    <xf numFmtId="0" fontId="5" fillId="0" borderId="0"/>
    <xf numFmtId="0" fontId="21" fillId="0" borderId="0" applyNumberFormat="0" applyFill="0" applyBorder="0" applyAlignment="0" applyProtection="0"/>
    <xf numFmtId="0" fontId="5" fillId="4" borderId="0"/>
    <xf numFmtId="0" fontId="5" fillId="5" borderId="1"/>
    <xf numFmtId="0" fontId="5" fillId="4" borderId="2"/>
    <xf numFmtId="0" fontId="27" fillId="0" borderId="0" applyNumberForma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xf numFmtId="9" fontId="18"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30" fillId="0" borderId="12" applyNumberFormat="0" applyFill="0" applyAlignment="0" applyProtection="0"/>
    <xf numFmtId="0" fontId="31" fillId="0" borderId="13" applyNumberFormat="0" applyFill="0" applyAlignment="0" applyProtection="0"/>
    <xf numFmtId="0" fontId="31" fillId="0" borderId="0" applyNumberFormat="0" applyFill="0" applyBorder="0" applyAlignment="0" applyProtection="0"/>
    <xf numFmtId="0" fontId="32" fillId="7" borderId="0" applyNumberFormat="0" applyBorder="0" applyAlignment="0" applyProtection="0"/>
    <xf numFmtId="0" fontId="33" fillId="8" borderId="0" applyNumberFormat="0" applyBorder="0" applyAlignment="0" applyProtection="0"/>
    <xf numFmtId="0" fontId="34" fillId="9" borderId="0" applyNumberFormat="0" applyBorder="0" applyAlignment="0" applyProtection="0"/>
    <xf numFmtId="0" fontId="35" fillId="10" borderId="14" applyNumberFormat="0" applyAlignment="0" applyProtection="0"/>
    <xf numFmtId="0" fontId="36" fillId="11" borderId="15" applyNumberFormat="0" applyAlignment="0" applyProtection="0"/>
    <xf numFmtId="0" fontId="37" fillId="11" borderId="14" applyNumberFormat="0" applyAlignment="0" applyProtection="0"/>
    <xf numFmtId="0" fontId="38" fillId="0" borderId="16" applyNumberFormat="0" applyFill="0" applyAlignment="0" applyProtection="0"/>
    <xf numFmtId="0" fontId="20" fillId="12" borderId="17" applyNumberFormat="0" applyAlignment="0" applyProtection="0"/>
    <xf numFmtId="0" fontId="39" fillId="0" borderId="0" applyNumberFormat="0" applyFill="0" applyBorder="0" applyAlignment="0" applyProtection="0"/>
    <xf numFmtId="0" fontId="18" fillId="13" borderId="1" applyNumberFormat="0" applyFont="0" applyAlignment="0" applyProtection="0"/>
    <xf numFmtId="0" fontId="40" fillId="0" borderId="0" applyNumberFormat="0" applyFill="0" applyBorder="0" applyAlignment="0" applyProtection="0"/>
    <xf numFmtId="0" fontId="12" fillId="0" borderId="18" applyNumberFormat="0" applyFill="0" applyAlignment="0" applyProtection="0"/>
    <xf numFmtId="0" fontId="10"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10"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10"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0"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10"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10"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cellStyleXfs>
  <cellXfs count="118">
    <xf numFmtId="0" fontId="0" fillId="0" borderId="0" xfId="0"/>
    <xf numFmtId="0" fontId="5" fillId="0" borderId="0" xfId="2"/>
    <xf numFmtId="0" fontId="9" fillId="2" borderId="0" xfId="3">
      <alignment horizontal="left" wrapText="1" indent="4"/>
    </xf>
    <xf numFmtId="0" fontId="8" fillId="2" borderId="0" xfId="4">
      <alignment horizontal="left" wrapText="1" indent="4"/>
    </xf>
    <xf numFmtId="0" fontId="5" fillId="0" borderId="0" xfId="2" applyAlignment="1">
      <alignment horizontal="left"/>
    </xf>
    <xf numFmtId="0" fontId="11" fillId="0" borderId="0" xfId="0" applyFont="1"/>
    <xf numFmtId="0" fontId="11" fillId="0" borderId="0" xfId="0" applyFont="1" applyAlignment="1">
      <alignment horizontal="left" indent="1"/>
    </xf>
    <xf numFmtId="0" fontId="10" fillId="3" borderId="0" xfId="6"/>
    <xf numFmtId="0" fontId="10" fillId="3" borderId="0" xfId="6" applyAlignment="1">
      <alignment horizontal="right"/>
    </xf>
    <xf numFmtId="0" fontId="10" fillId="0" borderId="0" xfId="5"/>
    <xf numFmtId="0" fontId="12" fillId="0" borderId="0" xfId="2" applyFont="1" applyAlignment="1">
      <alignment horizontal="left"/>
    </xf>
    <xf numFmtId="0" fontId="10" fillId="3" borderId="0" xfId="6" applyAlignment="1">
      <alignment horizontal="left"/>
    </xf>
    <xf numFmtId="14" fontId="0" fillId="0" borderId="0" xfId="0" applyNumberFormat="1"/>
    <xf numFmtId="0" fontId="5" fillId="4" borderId="0" xfId="11"/>
    <xf numFmtId="0" fontId="13" fillId="0" borderId="0" xfId="0" applyFont="1"/>
    <xf numFmtId="0" fontId="13" fillId="0" borderId="0" xfId="2" applyFont="1" applyAlignment="1">
      <alignment horizontal="left"/>
    </xf>
    <xf numFmtId="0" fontId="13" fillId="0" borderId="0" xfId="5"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5" applyFont="1"/>
    <xf numFmtId="0" fontId="12" fillId="0" borderId="0" xfId="2" applyFont="1" applyAlignment="1">
      <alignment horizontal="right"/>
    </xf>
    <xf numFmtId="0" fontId="10" fillId="0" borderId="0" xfId="2" applyFont="1" applyAlignment="1">
      <alignment horizontal="left"/>
    </xf>
    <xf numFmtId="0" fontId="19" fillId="0" borderId="0" xfId="0" applyFont="1"/>
    <xf numFmtId="0" fontId="19" fillId="0" borderId="0" xfId="0" quotePrefix="1" applyFont="1"/>
    <xf numFmtId="0" fontId="19" fillId="0" borderId="0" xfId="0" applyFont="1" applyAlignment="1">
      <alignment wrapText="1"/>
    </xf>
    <xf numFmtId="0" fontId="20" fillId="3" borderId="0" xfId="6" applyFont="1" applyAlignment="1">
      <alignment horizontal="left"/>
    </xf>
    <xf numFmtId="0" fontId="20" fillId="3" borderId="0" xfId="6" applyFont="1" applyAlignment="1">
      <alignment horizontal="right"/>
    </xf>
    <xf numFmtId="0" fontId="0" fillId="0" borderId="0" xfId="0" applyAlignment="1">
      <alignment vertical="center"/>
    </xf>
    <xf numFmtId="0" fontId="20" fillId="3" borderId="0" xfId="6" applyFont="1"/>
    <xf numFmtId="0" fontId="7" fillId="0" borderId="0" xfId="2" applyFont="1"/>
    <xf numFmtId="0" fontId="7" fillId="0" borderId="0" xfId="2" applyFont="1" applyAlignment="1">
      <alignment horizontal="left"/>
    </xf>
    <xf numFmtId="0" fontId="7" fillId="0" borderId="0" xfId="2" applyFont="1" applyAlignment="1">
      <alignment horizontal="right"/>
    </xf>
    <xf numFmtId="0" fontId="7" fillId="4" borderId="0" xfId="7" applyFont="1"/>
    <xf numFmtId="0" fontId="7" fillId="4" borderId="0" xfId="7" applyFont="1" applyAlignment="1">
      <alignment horizontal="right"/>
    </xf>
    <xf numFmtId="0" fontId="7" fillId="5" borderId="1" xfId="8" applyFont="1" applyAlignment="1">
      <alignment horizontal="right"/>
    </xf>
    <xf numFmtId="0" fontId="11" fillId="0" borderId="0" xfId="0" applyFont="1" applyAlignment="1">
      <alignment horizontal="center"/>
    </xf>
    <xf numFmtId="0" fontId="7" fillId="0" borderId="0" xfId="2" applyFont="1" applyAlignment="1">
      <alignment horizontal="left" indent="1"/>
    </xf>
    <xf numFmtId="0" fontId="11" fillId="0" borderId="0" xfId="0" applyFont="1" applyAlignment="1">
      <alignment horizontal="left" indent="2"/>
    </xf>
    <xf numFmtId="0" fontId="7" fillId="4" borderId="2" xfId="9" applyFont="1"/>
    <xf numFmtId="0" fontId="7" fillId="5" borderId="1" xfId="8" applyFont="1" applyAlignment="1">
      <alignment horizontal="right" vertical="center"/>
    </xf>
    <xf numFmtId="0" fontId="7" fillId="0" borderId="0" xfId="2" applyFont="1" applyAlignment="1">
      <alignment horizontal="center"/>
    </xf>
    <xf numFmtId="0" fontId="7" fillId="0" borderId="0" xfId="2" quotePrefix="1" applyFont="1" applyAlignment="1">
      <alignment horizontal="left"/>
    </xf>
    <xf numFmtId="0" fontId="7" fillId="0" borderId="0" xfId="2" applyFont="1" applyAlignment="1">
      <alignment horizontal="left" indent="2"/>
    </xf>
    <xf numFmtId="0" fontId="7" fillId="0" borderId="0" xfId="10" applyFont="1" applyAlignment="1">
      <alignment horizontal="left" indent="1"/>
    </xf>
    <xf numFmtId="0" fontId="7" fillId="4" borderId="2" xfId="13" applyFont="1"/>
    <xf numFmtId="0" fontId="7" fillId="4" borderId="2" xfId="9" applyFont="1" applyAlignment="1">
      <alignment horizontal="center" vertical="center"/>
    </xf>
    <xf numFmtId="0" fontId="7" fillId="4" borderId="2" xfId="9" applyFont="1" applyAlignment="1">
      <alignment horizontal="left"/>
    </xf>
    <xf numFmtId="0" fontId="5" fillId="5" borderId="1" xfId="8"/>
    <xf numFmtId="0" fontId="0" fillId="0" borderId="3" xfId="0" applyBorder="1" applyAlignment="1">
      <alignment vertical="center"/>
    </xf>
    <xf numFmtId="0" fontId="22" fillId="2" borderId="0" xfId="27" applyFont="1" applyFill="1" applyBorder="1" applyAlignment="1">
      <alignment horizontal="left" indent="1"/>
    </xf>
    <xf numFmtId="0" fontId="20" fillId="3" borderId="4" xfId="6" applyFont="1" applyBorder="1" applyAlignment="1">
      <alignment horizontal="left" vertical="center"/>
    </xf>
    <xf numFmtId="0" fontId="20" fillId="3" borderId="4" xfId="6" applyFont="1" applyBorder="1" applyAlignment="1">
      <alignment horizontal="right" vertical="center"/>
    </xf>
    <xf numFmtId="0" fontId="0" fillId="6" borderId="4" xfId="0" applyFill="1" applyBorder="1" applyAlignment="1">
      <alignment vertical="center"/>
    </xf>
    <xf numFmtId="0" fontId="23" fillId="0" borderId="0" xfId="0" applyFont="1" applyAlignment="1">
      <alignment horizontal="centerContinuous" vertical="center"/>
    </xf>
    <xf numFmtId="0" fontId="7" fillId="0" borderId="0" xfId="2" applyFont="1" applyAlignment="1">
      <alignment horizontal="centerContinuous"/>
    </xf>
    <xf numFmtId="0" fontId="0" fillId="0" borderId="0" xfId="0" applyAlignment="1">
      <alignment horizontal="centerContinuous"/>
    </xf>
    <xf numFmtId="0" fontId="10" fillId="0" borderId="0" xfId="5" applyAlignment="1">
      <alignment horizontal="centerContinuous"/>
    </xf>
    <xf numFmtId="0" fontId="6"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24" fillId="0" borderId="0" xfId="0" applyFont="1"/>
    <xf numFmtId="0" fontId="23" fillId="0" borderId="0" xfId="0" applyFont="1" applyAlignment="1">
      <alignment horizontal="center" vertical="center"/>
    </xf>
    <xf numFmtId="0" fontId="23"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5" fillId="4" borderId="5" xfId="7" applyBorder="1"/>
    <xf numFmtId="0" fontId="7" fillId="5" borderId="6" xfId="8" applyFont="1" applyBorder="1" applyAlignment="1">
      <alignment horizontal="right"/>
    </xf>
    <xf numFmtId="0" fontId="7" fillId="4" borderId="5" xfId="7" applyFont="1" applyBorder="1"/>
    <xf numFmtId="0" fontId="7" fillId="4" borderId="5" xfId="7" applyFont="1" applyBorder="1" applyAlignment="1">
      <alignment horizontal="right"/>
    </xf>
    <xf numFmtId="0" fontId="7" fillId="4" borderId="5" xfId="7" applyFont="1" applyBorder="1" applyAlignment="1">
      <alignment horizontal="left"/>
    </xf>
    <xf numFmtId="0" fontId="5" fillId="4" borderId="8" xfId="9" applyBorder="1"/>
    <xf numFmtId="0" fontId="5" fillId="5" borderId="7" xfId="8" applyBorder="1"/>
    <xf numFmtId="0" fontId="6" fillId="4" borderId="5" xfId="7" applyFont="1" applyBorder="1"/>
    <xf numFmtId="0" fontId="5" fillId="4" borderId="1" xfId="7" applyBorder="1"/>
    <xf numFmtId="166" fontId="7" fillId="5" borderId="7" xfId="8" applyNumberFormat="1" applyFont="1" applyBorder="1" applyAlignment="1">
      <alignment horizontal="right"/>
    </xf>
    <xf numFmtId="166" fontId="5" fillId="4" borderId="8" xfId="9" applyNumberFormat="1" applyBorder="1"/>
    <xf numFmtId="166" fontId="5" fillId="4" borderId="5" xfId="7" applyNumberFormat="1" applyBorder="1"/>
    <xf numFmtId="0" fontId="41" fillId="2" borderId="0" xfId="27" applyFont="1" applyFill="1" applyBorder="1" applyAlignment="1">
      <alignment horizontal="left" indent="1"/>
    </xf>
    <xf numFmtId="0" fontId="4" fillId="4" borderId="5" xfId="7" applyFont="1" applyBorder="1"/>
    <xf numFmtId="167" fontId="7" fillId="5" borderId="7" xfId="8" applyNumberFormat="1" applyFont="1" applyBorder="1" applyAlignment="1">
      <alignment horizontal="right"/>
    </xf>
    <xf numFmtId="168" fontId="5" fillId="5" borderId="7" xfId="8" applyNumberFormat="1" applyBorder="1"/>
    <xf numFmtId="168" fontId="5" fillId="4" borderId="5" xfId="7" applyNumberFormat="1" applyBorder="1"/>
    <xf numFmtId="168" fontId="7" fillId="5" borderId="7" xfId="8"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5" fillId="5" borderId="1" xfId="8" applyNumberFormat="1" applyAlignment="1">
      <alignment vertical="center"/>
    </xf>
    <xf numFmtId="0" fontId="7" fillId="4" borderId="5" xfId="7" applyFont="1" applyBorder="1" applyAlignment="1">
      <alignment horizontal="center"/>
    </xf>
    <xf numFmtId="14" fontId="7" fillId="4" borderId="5" xfId="7" applyNumberFormat="1" applyFont="1" applyBorder="1" applyAlignment="1">
      <alignment horizontal="left"/>
    </xf>
    <xf numFmtId="44" fontId="7" fillId="4" borderId="5" xfId="22" applyFont="1" applyFill="1" applyBorder="1" applyAlignment="1">
      <alignment horizontal="left"/>
    </xf>
    <xf numFmtId="0" fontId="10" fillId="3" borderId="0" xfId="6" applyAlignment="1">
      <alignment horizontal="center"/>
    </xf>
    <xf numFmtId="14" fontId="7" fillId="4" borderId="5" xfId="7" applyNumberFormat="1" applyFont="1" applyBorder="1" applyAlignment="1">
      <alignment horizontal="center"/>
    </xf>
    <xf numFmtId="0" fontId="3" fillId="4" borderId="5" xfId="7" applyFont="1" applyBorder="1" applyAlignment="1">
      <alignment horizontal="left"/>
    </xf>
    <xf numFmtId="2" fontId="7" fillId="4" borderId="5" xfId="7" applyNumberFormat="1" applyFont="1" applyBorder="1" applyAlignment="1">
      <alignment horizontal="left"/>
    </xf>
    <xf numFmtId="0" fontId="2" fillId="4" borderId="5" xfId="7" applyFont="1" applyBorder="1" applyAlignment="1">
      <alignment horizontal="left"/>
    </xf>
    <xf numFmtId="0" fontId="23" fillId="0" borderId="0" xfId="0" applyFont="1" applyAlignment="1">
      <alignment horizontal="left" vertical="center"/>
    </xf>
    <xf numFmtId="44" fontId="7" fillId="4" borderId="5" xfId="22" applyFont="1" applyFill="1" applyBorder="1" applyAlignment="1">
      <alignment horizontal="center"/>
    </xf>
    <xf numFmtId="0" fontId="2" fillId="0" borderId="0" xfId="2" applyFont="1"/>
    <xf numFmtId="0" fontId="5" fillId="38" borderId="0" xfId="2" applyFill="1"/>
    <xf numFmtId="0" fontId="2" fillId="4" borderId="5" xfId="7" applyFont="1" applyBorder="1" applyAlignment="1">
      <alignment horizontal="center"/>
    </xf>
    <xf numFmtId="44" fontId="5" fillId="0" borderId="0" xfId="2" applyNumberFormat="1"/>
    <xf numFmtId="44" fontId="42" fillId="38" borderId="0" xfId="2" applyNumberFormat="1" applyFont="1" applyFill="1"/>
    <xf numFmtId="44" fontId="43" fillId="38" borderId="0" xfId="22" applyFont="1" applyFill="1"/>
    <xf numFmtId="0" fontId="2" fillId="4" borderId="0" xfId="7" applyFont="1" applyAlignment="1">
      <alignment horizontal="left"/>
    </xf>
    <xf numFmtId="0" fontId="20" fillId="3" borderId="0" xfId="6" applyFont="1" applyAlignment="1">
      <alignment horizontal="center"/>
    </xf>
    <xf numFmtId="0" fontId="20" fillId="3" borderId="9" xfId="6" applyFont="1" applyBorder="1" applyAlignment="1">
      <alignment horizontal="center"/>
    </xf>
    <xf numFmtId="0" fontId="20" fillId="3" borderId="10" xfId="6" applyFont="1" applyBorder="1" applyAlignment="1">
      <alignment horizontal="center"/>
    </xf>
    <xf numFmtId="0" fontId="20" fillId="3" borderId="10" xfId="6" applyFont="1" applyBorder="1" applyAlignment="1">
      <alignment horizontal="center" vertical="center"/>
    </xf>
    <xf numFmtId="2" fontId="7" fillId="4" borderId="5" xfId="7" applyNumberFormat="1" applyFont="1" applyBorder="1" applyAlignment="1">
      <alignment horizontal="center"/>
    </xf>
    <xf numFmtId="0" fontId="1" fillId="4" borderId="5" xfId="7" applyFont="1" applyBorder="1" applyAlignment="1">
      <alignment horizontal="center"/>
    </xf>
    <xf numFmtId="0" fontId="1" fillId="0" borderId="0" xfId="2" applyFont="1"/>
    <xf numFmtId="0" fontId="1" fillId="4" borderId="5" xfId="7" applyFont="1" applyBorder="1" applyAlignment="1">
      <alignment horizontal="left"/>
    </xf>
  </cellXfs>
  <cellStyles count="66">
    <cellStyle name="20% - Ênfase1" xfId="43" builtinId="30" customBuiltin="1"/>
    <cellStyle name="20% - Ênfase2" xfId="47" builtinId="34" customBuiltin="1"/>
    <cellStyle name="20% - Ênfase3" xfId="51" builtinId="38" customBuiltin="1"/>
    <cellStyle name="20% - Ênfase4" xfId="55" builtinId="42" customBuiltin="1"/>
    <cellStyle name="20% - Ênfase5" xfId="59" builtinId="46" customBuiltin="1"/>
    <cellStyle name="20% - Ênfase6" xfId="63" builtinId="50" customBuiltin="1"/>
    <cellStyle name="40% - Ênfase1" xfId="44" builtinId="31" customBuiltin="1"/>
    <cellStyle name="40% - Ênfase2" xfId="48" builtinId="35" customBuiltin="1"/>
    <cellStyle name="40% - Ênfase3" xfId="52" builtinId="39" customBuiltin="1"/>
    <cellStyle name="40% - Ênfase4" xfId="56" builtinId="43" customBuiltin="1"/>
    <cellStyle name="40% - Ênfase5" xfId="60" builtinId="47" customBuiltin="1"/>
    <cellStyle name="40% - Ênfase6" xfId="64" builtinId="51" customBuiltin="1"/>
    <cellStyle name="60% - Ênfase1" xfId="45" builtinId="32" customBuiltin="1"/>
    <cellStyle name="60% - Ênfase2" xfId="49" builtinId="36" customBuiltin="1"/>
    <cellStyle name="60% - Ênfase3" xfId="53" builtinId="40" customBuiltin="1"/>
    <cellStyle name="60% - Ênfase4" xfId="57" builtinId="44" customBuiltin="1"/>
    <cellStyle name="60% - Ênfase5" xfId="61" builtinId="48" customBuiltin="1"/>
    <cellStyle name="60% - Ênfase6" xfId="65" builtinId="52" customBuiltin="1"/>
    <cellStyle name="Bom" xfId="30" builtinId="26" customBuiltin="1"/>
    <cellStyle name="Borda laranja" xfId="9" xr:uid="{00000000-0005-0000-0000-00000B000000}"/>
    <cellStyle name="Borda laranja 2" xfId="13" xr:uid="{00000000-0005-0000-0000-00000C000000}"/>
    <cellStyle name="Borda laranja 3" xfId="18" xr:uid="{00000000-0005-0000-0000-00000D000000}"/>
    <cellStyle name="Cabeçalho 1 2" xfId="3" xr:uid="{00000000-0005-0000-0000-000003000000}"/>
    <cellStyle name="Cabeçalho 2 2" xfId="4" xr:uid="{00000000-0005-0000-0000-000004000000}"/>
    <cellStyle name="Cabeçalho 3 2" xfId="6" xr:uid="{00000000-0005-0000-0000-000005000000}"/>
    <cellStyle name="Cálculo" xfId="35" builtinId="22" customBuiltin="1"/>
    <cellStyle name="Célula amarela" xfId="8" xr:uid="{00000000-0005-0000-0000-000010000000}"/>
    <cellStyle name="Célula amarela 2" xfId="12" xr:uid="{00000000-0005-0000-0000-000011000000}"/>
    <cellStyle name="Célula amarela 2 2" xfId="17" xr:uid="{00000000-0005-0000-0000-000012000000}"/>
    <cellStyle name="Célula cinza" xfId="7" xr:uid="{00000000-0005-0000-0000-000000000000}"/>
    <cellStyle name="Célula cinza 2" xfId="11" xr:uid="{00000000-0005-0000-0000-000001000000}"/>
    <cellStyle name="Célula cinza 2 2" xfId="16" xr:uid="{00000000-0005-0000-0000-000002000000}"/>
    <cellStyle name="Célula de Verificação" xfId="37" builtinId="23" customBuiltin="1"/>
    <cellStyle name="Célula Vinculada" xfId="36" builtinId="24" customBuiltin="1"/>
    <cellStyle name="Ênfase1" xfId="42" builtinId="29" customBuiltin="1"/>
    <cellStyle name="Ênfase2" xfId="46" builtinId="33" customBuiltin="1"/>
    <cellStyle name="Ênfase3" xfId="50" builtinId="37" customBuiltin="1"/>
    <cellStyle name="Ênfase4" xfId="54" builtinId="41" customBuiltin="1"/>
    <cellStyle name="Ênfase5" xfId="58" builtinId="45" customBuiltin="1"/>
    <cellStyle name="Ênfase6" xfId="62" builtinId="49" customBuiltin="1"/>
    <cellStyle name="Entrada" xfId="33" builtinId="20" customBuiltin="1"/>
    <cellStyle name="Hiperlink" xfId="15" builtinId="8" customBuiltin="1"/>
    <cellStyle name="Hiperlink Visitado" xfId="19" builtinId="9" customBuiltin="1"/>
    <cellStyle name="Moeda" xfId="22" builtinId="4" customBuiltin="1"/>
    <cellStyle name="Moeda [0]" xfId="23" builtinId="7" customBuiltin="1"/>
    <cellStyle name="Neutro" xfId="32" builtinId="28" customBuiltin="1"/>
    <cellStyle name="Normal" xfId="0" builtinId="0" customBuiltin="1"/>
    <cellStyle name="Normal 2" xfId="2" xr:uid="{00000000-0005-0000-0000-000008000000}"/>
    <cellStyle name="Normal 2 2" xfId="14" xr:uid="{00000000-0005-0000-0000-000009000000}"/>
    <cellStyle name="Normal 3" xfId="10" xr:uid="{00000000-0005-0000-0000-00000A000000}"/>
    <cellStyle name="Nota" xfId="39" builtinId="10" customBuiltin="1"/>
    <cellStyle name="Porcentagem" xfId="24" builtinId="5" customBuiltin="1"/>
    <cellStyle name="Ruim" xfId="31" builtinId="27" customBuiltin="1"/>
    <cellStyle name="Saída" xfId="34" builtinId="21" customBuiltin="1"/>
    <cellStyle name="Separador de milhares [0]" xfId="21" builtinId="6" customBuiltin="1"/>
    <cellStyle name="Texto de Aviso" xfId="38" builtinId="11" customBuiltin="1"/>
    <cellStyle name="Texto de coluna de Z a A" xfId="5" xr:uid="{00000000-0005-0000-0000-000013000000}"/>
    <cellStyle name="Texto Explicativo" xfId="40" builtinId="53" customBuiltin="1"/>
    <cellStyle name="Texto Inicial" xfId="1" xr:uid="{00000000-0005-0000-0000-00000E000000}"/>
    <cellStyle name="Título" xfId="25" builtinId="15" customBuiltin="1"/>
    <cellStyle name="Título 1" xfId="26" builtinId="16" customBuiltin="1"/>
    <cellStyle name="Título 2" xfId="27" xr:uid="{00000000-0005-0000-0000-00000F000000}"/>
    <cellStyle name="Título 3" xfId="28" builtinId="18" customBuiltin="1"/>
    <cellStyle name="Título 4" xfId="29" builtinId="19" customBuiltin="1"/>
    <cellStyle name="Total" xfId="41" builtinId="25" customBuiltin="1"/>
    <cellStyle name="Vírgula" xfId="20" builtinId="3" customBuiltin="1"/>
  </cellStyles>
  <dxfs count="28">
    <dxf>
      <fill>
        <patternFill>
          <bgColor theme="9" tint="-0.24994659260841701"/>
        </patternFill>
      </fill>
    </dxf>
    <dxf>
      <fill>
        <patternFill>
          <bgColor theme="7" tint="0.39994506668294322"/>
        </patternFill>
      </fill>
    </dxf>
    <dxf>
      <font>
        <color theme="1"/>
      </font>
      <fill>
        <patternFill>
          <bgColor theme="7" tint="0.59996337778862885"/>
        </patternFill>
      </fill>
      <border>
        <vertical/>
        <horizontal/>
      </border>
    </dxf>
    <dxf>
      <fill>
        <patternFill>
          <bgColor theme="7" tint="0.39994506668294322"/>
        </patternFill>
      </fill>
    </dxf>
    <dxf>
      <font>
        <color theme="1"/>
      </font>
      <fill>
        <patternFill>
          <bgColor theme="7" tint="0.59996337778862885"/>
        </patternFill>
      </fill>
      <border>
        <vertical/>
        <horizontal/>
      </border>
    </dxf>
    <dxf>
      <font>
        <color theme="1"/>
      </font>
      <fill>
        <patternFill>
          <bgColor theme="7" tint="0.59996337778862885"/>
        </patternFill>
      </fill>
      <border>
        <vertical/>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ce do usuário do Exccel" pivot="0" count="7"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support.office.com/pt-br/article/agora-fun&#231;&#227;o-agora-3337fd29-145a-4347-b2e6-20c904739c46?ui=pt-BR&amp;rs=pt-BR&amp;ad=BR" TargetMode="External"/><Relationship Id="rId3" Type="http://schemas.openxmlformats.org/officeDocument/2006/relationships/hyperlink" Target="#'M&#205;NIMO e M&#193;XIMO'!A1"/><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hyperlink" Target="https://support.office.com/pt-br/article/hoje-fun&#231;&#227;o-hoje-5eb3078d-a82c-4736-8930-2f51a028fdd9?ui=pt-BR&amp;rs=pt-BR&amp;ad=BR" TargetMode="External"/><Relationship Id="rId10" Type="http://schemas.openxmlformats.org/officeDocument/2006/relationships/hyperlink" Target="https://support.office.com/pt-br/article/data-fun&#231;&#227;o-data-e36c0c8c-4104-49da-ab83-82328b832349?ui=pt-BR&amp;rs=pt-BR&amp;ad=BR" TargetMode="External"/><Relationship Id="rId4" Type="http://schemas.openxmlformats.org/officeDocument/2006/relationships/hyperlink" Target="#'Unir texto e n&#250;meros'!A1"/><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pt-br/article/combinar-textos-e-n&#250;meros-a32c8e0e-90a2-435b-8635-5dd2209044ad?ui=pt-BR&amp;rs=pt-BR&amp;ad=BR" TargetMode="External"/><Relationship Id="rId3" Type="http://schemas.openxmlformats.org/officeDocument/2006/relationships/image" Target="../media/image7.png"/><Relationship Id="rId7" Type="http://schemas.openxmlformats.org/officeDocument/2006/relationships/image" Target="../media/image4.svg"/><Relationship Id="rId12" Type="http://schemas.openxmlformats.org/officeDocument/2006/relationships/image" Target="../media/image10.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3.png"/><Relationship Id="rId11" Type="http://schemas.openxmlformats.org/officeDocument/2006/relationships/image" Target="../media/image9.png"/><Relationship Id="rId5" Type="http://schemas.openxmlformats.org/officeDocument/2006/relationships/hyperlink" Target="https://support.office.com/pt-br/article/texto-fun&#231;&#227;o-texto-20d5ac4d-7b94-49fd-bb38-93d29371225c?ui=pt-BR&amp;rs=pt-BR&amp;ad=BR" TargetMode="External"/><Relationship Id="rId10" Type="http://schemas.openxmlformats.org/officeDocument/2006/relationships/hyperlink" Target="#'Unir texto e n&#250;meros'!A60"/><Relationship Id="rId4" Type="http://schemas.openxmlformats.org/officeDocument/2006/relationships/image" Target="../media/image8.svg"/><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4.svg"/><Relationship Id="rId3" Type="http://schemas.openxmlformats.org/officeDocument/2006/relationships/image" Target="../media/image6.svg"/><Relationship Id="rId7" Type="http://schemas.openxmlformats.org/officeDocument/2006/relationships/image" Target="../media/image1.png"/><Relationship Id="rId12" Type="http://schemas.openxmlformats.org/officeDocument/2006/relationships/image" Target="../media/image3.png"/><Relationship Id="rId17" Type="http://schemas.openxmlformats.org/officeDocument/2006/relationships/image" Target="../media/image13.png"/><Relationship Id="rId2" Type="http://schemas.openxmlformats.org/officeDocument/2006/relationships/image" Target="../media/image5.png"/><Relationship Id="rId16" Type="http://schemas.openxmlformats.org/officeDocument/2006/relationships/hyperlink" Target="https://support.office.com/pt-br/article/fun&#231;&#227;o-se-&#8211;-f&#243;rmulas-aninhadas-e-evitando-armadilhas-0b22ff44-f149-44ba-aeb5-4ef99da241c8?ui=pt-BR&amp;rs=pt-BR&amp;ad=BR" TargetMode="External"/><Relationship Id="rId1" Type="http://schemas.openxmlformats.org/officeDocument/2006/relationships/hyperlink" Target="#PROCV!A1"/><Relationship Id="rId6" Type="http://schemas.openxmlformats.org/officeDocument/2006/relationships/hyperlink" Target="https://support.office.com/pt-br/article/definir-e-usar-nomes-em-f%c3%b3rmulas-4d0f13ac-53b7-422e-afd2-abd7ff379c64?ui=pt-BR&amp;rs=pt-BR&amp;ad=BR" TargetMode="External"/><Relationship Id="rId11" Type="http://schemas.openxmlformats.org/officeDocument/2006/relationships/hyperlink" Target="https://support.office.com/pt-br/article/se-fun&#231;&#227;o-se-69aed7c9-4e8a-4755-a9bc-aa8bbff73be2?ui=pt-BR&amp;rs=pt-BR&amp;ad=BR" TargetMode="External"/><Relationship Id="rId5" Type="http://schemas.openxmlformats.org/officeDocument/2006/relationships/image" Target="../media/image12.svg"/><Relationship Id="rId15" Type="http://schemas.openxmlformats.org/officeDocument/2006/relationships/hyperlink" Target="https://support.office.com/pt-br/article/treinamento-de-excel-para-windows-9bc05390-e94c-46af-a5b3-d7c22f6990bb?ui=pt-BR&amp;rs=pt-BR&amp;ad=BR" TargetMode="External"/><Relationship Id="rId10" Type="http://schemas.openxmlformats.org/officeDocument/2006/relationships/hyperlink" Target="#'Unir texto e n&#250;meros'!A1"/><Relationship Id="rId4" Type="http://schemas.openxmlformats.org/officeDocument/2006/relationships/image" Target="../media/image11.png"/><Relationship Id="rId9" Type="http://schemas.openxmlformats.org/officeDocument/2006/relationships/hyperlink" Target="#'Instru&#231;&#245;es SE'!A60"/><Relationship Id="rId14" Type="http://schemas.openxmlformats.org/officeDocument/2006/relationships/hyperlink" Target="https://support.office.com/pt-br/article/ses-fun&#231;&#227;o-ses-36329a26-37b2-467c-972b-4a39bd951d45?ui=pt-BR&amp;rs=pt-BR&amp;ad=BR"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br/article/criar-uma-tabela-din&#226;mica-para-analisar-dados-da-planilha-a9a84538-bfe9-40a9-a8e9-f99134456576?ui=pt-BR&amp;rs=pt-BR&amp;ad=BR" TargetMode="External"/><Relationship Id="rId13"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hyperlink" Target="https://support.office.com/pt-br/article/seerro-fun&#231;&#227;o-seerro-c526fd07-caeb-47b8-8bb6-63f3e417f611?ui=pt-BR&amp;rs=pt-BR&amp;ad=BR" TargetMode="External"/><Relationship Id="rId12" Type="http://schemas.openxmlformats.org/officeDocument/2006/relationships/image" Target="../media/image6.svg"/><Relationship Id="rId2" Type="http://schemas.openxmlformats.org/officeDocument/2006/relationships/hyperlink" Target="https://support.office.com/pt-br/article/procv-fun&#231;&#227;o-procv-0bbc8083-26fe-4963-8ab8-93a18ad188a1?ui=pt-BR&amp;rs=pt-BR&amp;ad=BR" TargetMode="External"/><Relationship Id="rId1" Type="http://schemas.openxmlformats.org/officeDocument/2006/relationships/hyperlink" Target="#'Fun&#231;&#245;es condicionais'!A1"/><Relationship Id="rId6" Type="http://schemas.openxmlformats.org/officeDocument/2006/relationships/hyperlink" Target="https://support.office.com/pt-br/article/treinamento-de-excel-para-windows-9bc05390-e94c-46af-a5b3-d7c22f6990bb?ui=pt-BR&amp;rs=pt-BR&amp;ad=BR" TargetMode="External"/><Relationship Id="rId11" Type="http://schemas.openxmlformats.org/officeDocument/2006/relationships/image" Target="../media/image5.png"/><Relationship Id="rId5" Type="http://schemas.openxmlformats.org/officeDocument/2006/relationships/hyperlink" Target="https://support.office.com/pt-br/article/corresp-fun&#231;&#227;o-corresp-e8dffd45-c762-47d6-bf89-533f4a37673a?ui=pt-BR&amp;rs=pt-BR&amp;ad=BR" TargetMode="External"/><Relationship Id="rId10" Type="http://schemas.openxmlformats.org/officeDocument/2006/relationships/hyperlink" Target="#'Instru&#231;&#245;es SE'!A1"/><Relationship Id="rId4" Type="http://schemas.openxmlformats.org/officeDocument/2006/relationships/image" Target="../media/image4.svg"/><Relationship Id="rId9" Type="http://schemas.openxmlformats.org/officeDocument/2006/relationships/hyperlink" Target="#PROCV!A62"/><Relationship Id="rId14" Type="http://schemas.openxmlformats.org/officeDocument/2006/relationships/image" Target="../media/image15.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br/article/m&#193;ximoses-fun&#231;&#227;o-m&#193;ximoses-dfd611e6-da2c-488a-919b-9b6376b28883?ui=pt-BR&amp;rs=pt-BR&amp;ad=BR" TargetMode="External"/><Relationship Id="rId13" Type="http://schemas.openxmlformats.org/officeDocument/2006/relationships/hyperlink" Target="https://support.office.com/pt-br/article/somases-fun&#231;&#227;o-somases-c9e748f5-7ea7-455d-9406-611cebce642b?ui=pt-BR&amp;rs=pt-BR&amp;ad=BR" TargetMode="External"/><Relationship Id="rId18" Type="http://schemas.openxmlformats.org/officeDocument/2006/relationships/image" Target="../media/image11.png"/><Relationship Id="rId3" Type="http://schemas.openxmlformats.org/officeDocument/2006/relationships/hyperlink" Target="#'Assistente de fun&#231;&#227;o'!A1"/><Relationship Id="rId21" Type="http://schemas.openxmlformats.org/officeDocument/2006/relationships/hyperlink" Target="#'Fun&#231;&#245;es condicionais'!A130"/><Relationship Id="rId7" Type="http://schemas.openxmlformats.org/officeDocument/2006/relationships/image" Target="../media/image4.svg"/><Relationship Id="rId12" Type="http://schemas.openxmlformats.org/officeDocument/2006/relationships/hyperlink" Target="https://support.office.com/pt-br/article/cont-ses-fun&#231;&#227;o-cont-ses-dda3dc6e-f74e-4aee-88bc-aa8c2a866842?ui=pt-BR&amp;rs=pt-BR&amp;ad=BR" TargetMode="External"/><Relationship Id="rId17" Type="http://schemas.openxmlformats.org/officeDocument/2006/relationships/hyperlink" Target="https://support.office.com/pt-br/article/criar-uma-tabela-din%c3%a2mica-para-analisar-dados-da-planilha-a9a84538-bfe9-40a9-a8e9-f99134456576?ui=pt-BR&amp;rs=pt-BR&amp;ad=BR" TargetMode="External"/><Relationship Id="rId2" Type="http://schemas.openxmlformats.org/officeDocument/2006/relationships/image" Target="../media/image2.svg"/><Relationship Id="rId16" Type="http://schemas.openxmlformats.org/officeDocument/2006/relationships/hyperlink" Target="https://support.office.com/pt-br/article/criar-uma-lista-suspensa-7693307a-59ef-400a-b769-c5402dce407b?ui=pt-BR&amp;rs=pt-BR&amp;ad=BR" TargetMode="External"/><Relationship Id="rId20" Type="http://schemas.openxmlformats.org/officeDocument/2006/relationships/hyperlink" Target="#'Fun&#231;&#245;es condicionais'!A85"/><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hyperlink" Target="https://support.office.com/pt-br/article/m&#205;nimoses-fun&#231;&#227;o-m&#205;nimoses-6ca1ddaa-079b-4e74-80cc-72eef32e6599?ui=pt-BR&amp;rs=pt-BR&amp;ad=BR" TargetMode="External"/><Relationship Id="rId5" Type="http://schemas.openxmlformats.org/officeDocument/2006/relationships/hyperlink" Target="https://support.office.com/pt-br/article/treinamento-de-excel-para-windows-9bc05390-e94c-46af-a5b3-d7c22f6990bb?ui=pt-BR&amp;rs=pt-BR&amp;ad=BR" TargetMode="External"/><Relationship Id="rId15" Type="http://schemas.openxmlformats.org/officeDocument/2006/relationships/hyperlink" Target="https://support.office.com/pt-br/article/cont-se-fun&#231;&#227;o-cont-se-e0de10c6-f885-4e71-abb4-1f464816df34?ui=pt-BR&amp;rs=pt-BR&amp;ad=BR" TargetMode="External"/><Relationship Id="rId10" Type="http://schemas.openxmlformats.org/officeDocument/2006/relationships/hyperlink" Target="https://support.office.com/pt-br/article/m&#201;diase-fun&#231;&#227;o-m&#201;diase-faec8e2e-0dec-4308-af69-f5576d8ac642?ui=pt-BR&amp;rs=pt-BR&amp;ad=BR" TargetMode="External"/><Relationship Id="rId19" Type="http://schemas.openxmlformats.org/officeDocument/2006/relationships/image" Target="../media/image12.svg"/><Relationship Id="rId4" Type="http://schemas.openxmlformats.org/officeDocument/2006/relationships/hyperlink" Target="#'Fun&#231;&#245;es condicionais'!A1"/><Relationship Id="rId9" Type="http://schemas.openxmlformats.org/officeDocument/2006/relationships/hyperlink" Target="https://support.office.com/pt-br/article/m&#201;diases-fun&#231;&#227;o-m&#201;diases-48910c45-1fc0-4389-a028-f7c5c3001690?ui=pt-BR&amp;rs=pt-BR&amp;ad=BR" TargetMode="External"/><Relationship Id="rId14" Type="http://schemas.openxmlformats.org/officeDocument/2006/relationships/hyperlink" Target="https://support.office.com/pt-br/article/somase-fun&#231;&#227;o-somase-169b8c99-c05c-4483-a712-1697a653039b?ui=pt-BR&amp;rs=pt-BR&amp;ad=BR" TargetMode="External"/><Relationship Id="rId22" Type="http://schemas.openxmlformats.org/officeDocument/2006/relationships/hyperlink" Target="#'Fun&#231;&#245;es condicionais'!A138"/></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pt-BR/article/excel-functions-alphabetical-b3944572-255d-4efb-bb96-c6d90033e188?ui=pt-BR&amp;rs=en-001&amp;ad=us" TargetMode="External"/><Relationship Id="rId13" Type="http://schemas.openxmlformats.org/officeDocument/2006/relationships/image" Target="../media/image2.svg"/><Relationship Id="rId3" Type="http://schemas.openxmlformats.org/officeDocument/2006/relationships/hyperlink" Target="https://support.office.com/pt-BR/article/overview-of-formulas-in-excel-ecfdc708-9162-49e8-b993-c311f47ca173?ui=pt-BR&amp;rs=en-001&amp;ad=us" TargetMode="External"/><Relationship Id="rId7" Type="http://schemas.openxmlformats.org/officeDocument/2006/relationships/hyperlink" Target="https://support.office.com/pt-BR/article/excel-for-windows-training-9bc05390-e94c-46af-a5b3-d7c22f6990bb?ui=pt-BR&amp;rs=en-001&amp;ad=us" TargetMode="External"/><Relationship Id="rId12" Type="http://schemas.openxmlformats.org/officeDocument/2006/relationships/image" Target="../media/image1.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hyperlink" Target="https://support.office.com/pt-BR/article/excel-functions-by-category-5f91f4e9-7b42-46d2-9bd1-63f26a86c0eb?ui=pt-BR&amp;rs=en-001&amp;ad=us" TargetMode="External"/><Relationship Id="rId11" Type="http://schemas.openxmlformats.org/officeDocument/2006/relationships/image" Target="../media/image16.png"/><Relationship Id="rId5" Type="http://schemas.openxmlformats.org/officeDocument/2006/relationships/image" Target="../media/image4.svg"/><Relationship Id="rId10" Type="http://schemas.openxmlformats.org/officeDocument/2006/relationships/hyperlink" Target="#'Erros de f&#243;rmula'!A1"/><Relationship Id="rId4" Type="http://schemas.openxmlformats.org/officeDocument/2006/relationships/image" Target="../media/image3.png"/><Relationship Id="rId9" Type="http://schemas.openxmlformats.org/officeDocument/2006/relationships/hyperlink" Target="#'Fun&#231;&#245;es condicionais'!A1"/></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https://support.office.com/pt-BR/article/excel-for-windows-training-9bc05390-e94c-46af-a5b3-d7c22f6990bb?ui=pt-BR&amp;rs=en-001&amp;ad=us" TargetMode="External"/><Relationship Id="rId3" Type="http://schemas.openxmlformats.org/officeDocument/2006/relationships/hyperlink" Target="#'Assistente de fun&#231;&#227;o'!A1"/><Relationship Id="rId7" Type="http://schemas.openxmlformats.org/officeDocument/2006/relationships/image" Target="../media/image1.png"/><Relationship Id="rId12" Type="http://schemas.openxmlformats.org/officeDocument/2006/relationships/hyperlink" Target="https://support.office.com/pt-BR/article/how-to-avoid-broken-formulas-8309381d-33e8-42f6-b889-84ef6df1d586?ui=pt-BR&amp;rs=en-001&amp;ad=us" TargetMode="External"/><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15.svg"/><Relationship Id="rId11" Type="http://schemas.openxmlformats.org/officeDocument/2006/relationships/image" Target="../media/image4.svg"/><Relationship Id="rId5" Type="http://schemas.openxmlformats.org/officeDocument/2006/relationships/image" Target="../media/image14.png"/><Relationship Id="rId10" Type="http://schemas.openxmlformats.org/officeDocument/2006/relationships/image" Target="../media/image3.png"/><Relationship Id="rId4" Type="http://schemas.openxmlformats.org/officeDocument/2006/relationships/hyperlink" Target="#'Saiba mais'!A1"/><Relationship Id="rId9" Type="http://schemas.openxmlformats.org/officeDocument/2006/relationships/hyperlink" Target="https://support.office.com/pt-BR/article/detect-errors-in-formulas-3a8acca5-1d61-4702-80e0-99a36a2822c1?ui=pt-BR&amp;rs=en-001&amp;ad=us" TargetMode="External"/><Relationship Id="rId14" Type="http://schemas.openxmlformats.org/officeDocument/2006/relationships/hyperlink" Target="https://support.office.com/pt-BR/article/evaluate-a-nested-formula-one-step-at-a-time-59a201ae-d1dc-4b15-8586-a70aa409b8a7?ui=pt-BR&amp;rs=en-001&amp;ad=us" TargetMode="External"/></Relationships>
</file>

<file path=xl/drawings/drawing1.xml><?xml version="1.0" encoding="utf-8"?>
<xdr:wsDr xmlns:xdr="http://schemas.openxmlformats.org/drawingml/2006/spreadsheetDrawing" xmlns:a="http://schemas.openxmlformats.org/drawingml/2006/main">
  <xdr:twoCellAnchor editAs="absolute">
    <xdr:from>
      <xdr:col>2</xdr:col>
      <xdr:colOff>476258</xdr:colOff>
      <xdr:row>11</xdr:row>
      <xdr:rowOff>122574</xdr:rowOff>
    </xdr:from>
    <xdr:to>
      <xdr:col>6</xdr:col>
      <xdr:colOff>95260</xdr:colOff>
      <xdr:row>21</xdr:row>
      <xdr:rowOff>133352</xdr:rowOff>
    </xdr:to>
    <xdr:grpSp>
      <xdr:nvGrpSpPr>
        <xdr:cNvPr id="110" name="É BOM SABER"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848483" y="3084849"/>
          <a:ext cx="3600452" cy="1925303"/>
          <a:chOff x="7014701" y="15449520"/>
          <a:chExt cx="3432176" cy="1849277"/>
        </a:xfrm>
      </xdr:grpSpPr>
      <xdr:sp macro="" textlink="">
        <xdr:nvSpPr>
          <xdr:cNvPr id="111" name="Etapa"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279035" y="15665449"/>
            <a:ext cx="3167842" cy="163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a:t>
            </a:r>
            <a:r>
              <a:rPr lang="pt-br" sz="1100" b="1" i="0" kern="1200" baseline="0">
                <a:solidFill>
                  <a:schemeClr val="dk1"/>
                </a:solidFill>
                <a:effectLst/>
                <a:latin typeface="+mn-lt"/>
                <a:ea typeface="+mn-ea"/>
                <a:cs typeface="+mn-cs"/>
              </a:rPr>
              <a:t>Ctrl+1</a:t>
            </a:r>
            <a:r>
              <a:rPr lang="pt-br" sz="1100" b="0" i="0" kern="1200" baseline="0">
                <a:solidFill>
                  <a:schemeClr val="dk1"/>
                </a:solidFill>
                <a:effectLst/>
                <a:latin typeface="+mn-lt"/>
                <a:ea typeface="+mn-ea"/>
                <a:cs typeface="+mn-cs"/>
              </a:rPr>
              <a:t>, selecione </a:t>
            </a:r>
            <a:r>
              <a:rPr lang="pt-br" sz="1100" b="1" i="0" kern="1200" baseline="0">
                <a:solidFill>
                  <a:schemeClr val="dk1"/>
                </a:solidFill>
                <a:effectLst/>
                <a:latin typeface="+mn-lt"/>
                <a:ea typeface="+mn-ea"/>
                <a:cs typeface="+mn-cs"/>
              </a:rPr>
              <a:t>Número</a:t>
            </a:r>
            <a:r>
              <a:rPr lang="pt-br" sz="1100" b="0" i="0" kern="1200" baseline="0">
                <a:solidFill>
                  <a:schemeClr val="dk1"/>
                </a:solidFill>
                <a:effectLst/>
                <a:latin typeface="+mn-lt"/>
                <a:ea typeface="+mn-ea"/>
                <a:cs typeface="+mn-cs"/>
              </a:rPr>
              <a:t> e escolha um formato de </a:t>
            </a:r>
            <a:r>
              <a:rPr lang="pt-br" sz="1100" b="1" i="0" kern="1200" baseline="0">
                <a:solidFill>
                  <a:schemeClr val="dk1"/>
                </a:solidFill>
                <a:effectLst/>
                <a:latin typeface="+mn-lt"/>
                <a:ea typeface="+mn-ea"/>
                <a:cs typeface="+mn-cs"/>
              </a:rPr>
              <a:t>Data </a:t>
            </a:r>
            <a:r>
              <a:rPr lang="pt-br" sz="1100" b="0" i="0" kern="1200" baseline="0">
                <a:solidFill>
                  <a:schemeClr val="dk1"/>
                </a:solidFill>
                <a:effectLst/>
                <a:latin typeface="+mn-lt"/>
                <a:ea typeface="+mn-ea"/>
                <a:cs typeface="+mn-cs"/>
              </a:rPr>
              <a:t>ou </a:t>
            </a:r>
            <a:r>
              <a:rPr lang="pt-br" sz="1100" b="1" i="0" kern="1200" baseline="0">
                <a:solidFill>
                  <a:schemeClr val="dk1"/>
                </a:solidFill>
                <a:effectLst/>
                <a:latin typeface="+mn-lt"/>
                <a:ea typeface="+mn-ea"/>
                <a:cs typeface="+mn-cs"/>
              </a:rPr>
              <a:t>Hora</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112" name="Elemento 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4701"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309328"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18</xdr:row>
      <xdr:rowOff>161925</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2425"/>
          <a:ext cx="5734050" cy="4114800"/>
          <a:chOff x="342900" y="352425"/>
          <a:chExt cx="5734050" cy="4125113"/>
        </a:xfrm>
      </xdr:grpSpPr>
      <xdr:sp macro="" textlink="">
        <xdr:nvSpPr>
          <xdr:cNvPr id="88" name="txt_PlanoDeFundoDoTour" descr="Plano de fundo">
            <a:extLst>
              <a:ext uri="{FF2B5EF4-FFF2-40B4-BE49-F238E27FC236}">
                <a16:creationId xmlns:a16="http://schemas.microsoft.com/office/drawing/2014/main" id="{1B9F331C-35CF-445A-B76D-D6E6332E2CF5}"/>
              </a:ext>
            </a:extLst>
          </xdr:cNvPr>
          <xdr:cNvSpPr/>
        </xdr:nvSpPr>
        <xdr:spPr>
          <a:xfrm>
            <a:off x="342900" y="352425"/>
            <a:ext cx="5734050" cy="412511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oTour" descr="Funções de dat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data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DoTour1"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DoTour2" descr="Linha decorativa">
            <a:extLst>
              <a:ext uri="{FF2B5EF4-FFF2-40B4-BE49-F238E27FC236}">
                <a16:creationId xmlns:a16="http://schemas.microsoft.com/office/drawing/2014/main" id="{A8B37EE1-E313-4FB9-9B34-9B560124860A}"/>
              </a:ext>
            </a:extLst>
          </xdr:cNvPr>
          <xdr:cNvCxnSpPr>
            <a:cxnSpLocks/>
          </xdr:cNvCxnSpPr>
        </xdr:nvCxnSpPr>
        <xdr:spPr>
          <a:xfrm>
            <a:off x="546103" y="41772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oTour" descr="O Excel pode fornecer a data atual com base nas configurações regionais do seu computador. Você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data atual com base nas configurações regionais do seu computador. Você também pode somar e subtrair datas.</a:t>
            </a:r>
          </a:p>
        </xdr:txBody>
      </xdr:sp>
      <xdr:grpSp>
        <xdr:nvGrpSpPr>
          <xdr:cNvPr id="105" name="grp_Etapa">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Etapa" descr="Veja a função HOJE, que fornece a data de hoje. Estas são funções dinâmicas ou voláteis, então, ao abrir sua pasta de trabalho amanhã, você verá a data de amanhã. Digite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 a data de hoje. Estas são funções dinâmicas ou voláteis, então, ao abrir sua pasta de trabalho amanhã, você verá a data de amanhã.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Etapa"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14" name="grp_Etapa" descr="Subtrair datas: digite o seu próximo aniversário no formato DD/MM/AA e veja o Excel calcular quantos dias ainda faltam para esse dia usando =D7-D6.&#10;">
            <a:extLst>
              <a:ext uri="{FF2B5EF4-FFF2-40B4-BE49-F238E27FC236}">
                <a16:creationId xmlns:a16="http://schemas.microsoft.com/office/drawing/2014/main" id="{8949AC7E-881F-4686-B2D3-0D3D90D9B1DC}"/>
              </a:ext>
            </a:extLst>
          </xdr:cNvPr>
          <xdr:cNvGrpSpPr/>
        </xdr:nvGrpSpPr>
        <xdr:grpSpPr>
          <a:xfrm>
            <a:off x="561975" y="2357615"/>
            <a:ext cx="5448300" cy="687591"/>
            <a:chOff x="609600" y="7759928"/>
            <a:chExt cx="5186234" cy="666303"/>
          </a:xfrm>
        </xdr:grpSpPr>
        <xdr:sp macro="" textlink="">
          <xdr:nvSpPr>
            <xdr:cNvPr id="115" name="txt_Etapa" descr="Subtrair datas: digite o seu próximo aniversário no formato DD/MM/AA na célula D7 e veja o Excel calcular quantos dias ainda faltam para esse dia usando =D7-D6 e colocar o resultado na célula D8.&#10;&#10;">
              <a:extLst>
                <a:ext uri="{FF2B5EF4-FFF2-40B4-BE49-F238E27FC236}">
                  <a16:creationId xmlns:a16="http://schemas.microsoft.com/office/drawing/2014/main" id="{674AF6D9-AA9C-4D64-BAE7-B4CD50116B71}"/>
                </a:ext>
              </a:extLst>
            </xdr:cNvPr>
            <xdr:cNvSpPr txBox="1"/>
          </xdr:nvSpPr>
          <xdr:spPr>
            <a:xfrm>
              <a:off x="1017295" y="7759928"/>
              <a:ext cx="4778539" cy="66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digite o seu próximo aniversário no formato DD/MM/AA na célula D7 e veja o Excel calcular quantos dias ainda faltam para esse dia usando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colocar o resultado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Etapa"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7" name="grp_Etapa">
            <a:extLst>
              <a:ext uri="{FF2B5EF4-FFF2-40B4-BE49-F238E27FC236}">
                <a16:creationId xmlns:a16="http://schemas.microsoft.com/office/drawing/2014/main" id="{8475192F-E42A-4700-8E84-BC6112DACD7C}"/>
              </a:ext>
            </a:extLst>
          </xdr:cNvPr>
          <xdr:cNvGrpSpPr/>
        </xdr:nvGrpSpPr>
        <xdr:grpSpPr>
          <a:xfrm>
            <a:off x="561977" y="3019423"/>
            <a:ext cx="5457825" cy="1085706"/>
            <a:chOff x="627640" y="7810502"/>
            <a:chExt cx="5168194" cy="1068634"/>
          </a:xfrm>
        </xdr:grpSpPr>
        <xdr:sp macro="" textlink="">
          <xdr:nvSpPr>
            <xdr:cNvPr id="118" name="txt_Etapa" descr="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10;&#10;">
              <a:extLst>
                <a:ext uri="{FF2B5EF4-FFF2-40B4-BE49-F238E27FC236}">
                  <a16:creationId xmlns:a16="http://schemas.microsoft.com/office/drawing/2014/main" id="{37BB0272-2987-4A11-B2B1-9F0CA7972BC1}"/>
                </a:ext>
              </a:extLst>
            </xdr:cNvPr>
            <xdr:cNvSpPr txBox="1"/>
          </xdr:nvSpPr>
          <xdr:spPr>
            <a:xfrm>
              <a:off x="1017295" y="7852457"/>
              <a:ext cx="4778539" cy="102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digamos que você deseja saber em qual dia determinada conta vence ou quando precisa retornar um livro para a biblioteca. Você pode somar dias a uma data para descobrir. Na célula D10, digite um número aleatório de dias. Na célula D11, somamos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calcular a data de entrega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Etapa" descr="3">
              <a:extLst>
                <a:ext uri="{FF2B5EF4-FFF2-40B4-BE49-F238E27FC236}">
                  <a16:creationId xmlns:a16="http://schemas.microsoft.com/office/drawing/2014/main" id="{824C0607-47BE-4C56-BBB4-6FA6522CE93B}"/>
                </a:ext>
              </a:extLst>
            </xdr:cNvPr>
            <xdr:cNvSpPr/>
          </xdr:nvSpPr>
          <xdr:spPr>
            <a:xfrm>
              <a:off x="627640" y="781050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85726</xdr:rowOff>
    </xdr:from>
    <xdr:to>
      <xdr:col>1</xdr:col>
      <xdr:colOff>5229225</xdr:colOff>
      <xdr:row>65</xdr:row>
      <xdr:rowOff>161920</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581526"/>
          <a:ext cx="5734050" cy="8877294"/>
          <a:chOff x="342900" y="4101242"/>
          <a:chExt cx="5734050" cy="9127949"/>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101242"/>
            <a:ext cx="5734050" cy="9127949"/>
            <a:chOff x="352425" y="4450196"/>
            <a:chExt cx="5734050" cy="8751971"/>
          </a:xfrm>
        </xdr:grpSpPr>
        <xdr:sp macro="" textlink="">
          <xdr:nvSpPr>
            <xdr:cNvPr id="121" name="txt_PlanoDeFundoDoTour" descr="Plano de fundo">
              <a:extLst>
                <a:ext uri="{FF2B5EF4-FFF2-40B4-BE49-F238E27FC236}">
                  <a16:creationId xmlns:a16="http://schemas.microsoft.com/office/drawing/2014/main" id="{013EE55B-07EC-4D50-A659-7ADD2D0198D2}"/>
                </a:ext>
              </a:extLst>
            </xdr:cNvPr>
            <xdr:cNvSpPr/>
          </xdr:nvSpPr>
          <xdr:spPr>
            <a:xfrm>
              <a:off x="352425" y="4450196"/>
              <a:ext cx="5734050" cy="875197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oTour" descr="Funções de hora">
              <a:extLst>
                <a:ext uri="{FF2B5EF4-FFF2-40B4-BE49-F238E27FC236}">
                  <a16:creationId xmlns:a16="http://schemas.microsoft.com/office/drawing/2014/main" id="{E209722A-2C8C-4791-B9C1-5101AA32AB0A}"/>
                </a:ext>
              </a:extLst>
            </xdr:cNvPr>
            <xdr:cNvSpPr txBox="1"/>
          </xdr:nvSpPr>
          <xdr:spPr>
            <a:xfrm>
              <a:off x="589309" y="4540811"/>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hora</a:t>
              </a:r>
            </a:p>
          </xdr:txBody>
        </xdr:sp>
        <xdr:cxnSp macro="">
          <xdr:nvCxnSpPr>
            <xdr:cNvPr id="123" name="txt_LinhaDoTour1" descr="Linha decorativa">
              <a:extLst>
                <a:ext uri="{FF2B5EF4-FFF2-40B4-BE49-F238E27FC236}">
                  <a16:creationId xmlns:a16="http://schemas.microsoft.com/office/drawing/2014/main" id="{75A87590-4FA0-4D28-B7A3-E1F7CCD88B3B}"/>
                </a:ext>
              </a:extLst>
            </xdr:cNvPr>
            <xdr:cNvCxnSpPr>
              <a:cxnSpLocks/>
            </xdr:cNvCxnSpPr>
          </xdr:nvCxnSpPr>
          <xdr:spPr>
            <a:xfrm>
              <a:off x="589309" y="5112312"/>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DoTour2" descr="Linha decorativa">
              <a:extLst>
                <a:ext uri="{FF2B5EF4-FFF2-40B4-BE49-F238E27FC236}">
                  <a16:creationId xmlns:a16="http://schemas.microsoft.com/office/drawing/2014/main" id="{A703583B-6374-4690-B8BC-8D6A61F4DB52}"/>
                </a:ext>
              </a:extLst>
            </xdr:cNvPr>
            <xdr:cNvCxnSpPr>
              <a:cxnSpLocks/>
            </xdr:cNvCxnSpPr>
          </xdr:nvCxnSpPr>
          <xdr:spPr>
            <a:xfrm>
              <a:off x="589309" y="12533591"/>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oTour" descr="O Excel pode fornecer a hora atual com base nas configurações regionais do seu computador. Você também pode somar e subtrair horários. Por exemplo, talvez seja necessário controlar quantas horas um funcionário trabalhou por semana e calcular o pagamento e as horas extras.&#10;&#10;">
              <a:extLst>
                <a:ext uri="{FF2B5EF4-FFF2-40B4-BE49-F238E27FC236}">
                  <a16:creationId xmlns:a16="http://schemas.microsoft.com/office/drawing/2014/main" id="{D8BC11B9-1B82-45F8-A69B-BA51910C6977}"/>
                </a:ext>
              </a:extLst>
            </xdr:cNvPr>
            <xdr:cNvSpPr txBox="1"/>
          </xdr:nvSpPr>
          <xdr:spPr>
            <a:xfrm>
              <a:off x="586111" y="5144061"/>
              <a:ext cx="5222183" cy="86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hora atual com base nas configurações regionais do seu computador. Você também pode somar e subtrair horas. Por exemplo, talvez seja necessário controlar quantas horas um funcionário trabalhou por semana e calcular o pagamento e as horas extras.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096000"/>
              <a:ext cx="5206583" cy="6308232"/>
              <a:chOff x="7200900" y="1143000"/>
              <a:chExt cx="5206583" cy="6308232"/>
            </a:xfrm>
          </xdr:grpSpPr>
          <xdr:grpSp>
            <xdr:nvGrpSpPr>
              <xdr:cNvPr id="127" name="grp_Etapa">
                <a:extLst>
                  <a:ext uri="{FF2B5EF4-FFF2-40B4-BE49-F238E27FC236}">
                    <a16:creationId xmlns:a16="http://schemas.microsoft.com/office/drawing/2014/main" id="{AAE10329-58E6-4043-B19B-2070B24369C8}"/>
                  </a:ext>
                </a:extLst>
              </xdr:cNvPr>
              <xdr:cNvGrpSpPr/>
            </xdr:nvGrpSpPr>
            <xdr:grpSpPr>
              <a:xfrm>
                <a:off x="7200900" y="1143000"/>
                <a:ext cx="5206583" cy="852076"/>
                <a:chOff x="495420" y="7810500"/>
                <a:chExt cx="5201275" cy="852076"/>
              </a:xfrm>
            </xdr:grpSpPr>
            <xdr:sp macro="" textlink="">
              <xdr:nvSpPr>
                <xdr:cNvPr id="149" name="txt_Etapa" descr="Na célula D28, digite =AGORA(), que fornecerá a hora atual e será atualizada sempre que o Excel fizer um cálculo. Se você precisar alterar o formato de hora, acesse Ctrl+1 &gt; Número &gt; Hora e escolha o formato desejado.&#10;&#10;&#10;&#10;">
                  <a:extLst>
                    <a:ext uri="{FF2B5EF4-FFF2-40B4-BE49-F238E27FC236}">
                      <a16:creationId xmlns:a16="http://schemas.microsoft.com/office/drawing/2014/main" id="{E9EDD045-804A-43D1-9571-BDF7D36C6FD0}"/>
                    </a:ext>
                  </a:extLst>
                </xdr:cNvPr>
                <xdr:cNvSpPr txBox="1"/>
              </xdr:nvSpPr>
              <xdr:spPr>
                <a:xfrm>
                  <a:off x="918156" y="7852457"/>
                  <a:ext cx="4778539" cy="810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fornecerá a hora atual e será atualizada sempre que o Excel fizer um cálculo. Se você precisar alterar o formato de hora,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escolha o formato desejado.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Etapa"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8" name="grp_Etapa">
                <a:extLst>
                  <a:ext uri="{FF2B5EF4-FFF2-40B4-BE49-F238E27FC236}">
                    <a16:creationId xmlns:a16="http://schemas.microsoft.com/office/drawing/2014/main" id="{FCFD70FD-C355-4B74-9752-B828C322CD76}"/>
                  </a:ext>
                </a:extLst>
              </xdr:cNvPr>
              <xdr:cNvGrpSpPr/>
            </xdr:nvGrpSpPr>
            <xdr:grpSpPr>
              <a:xfrm>
                <a:off x="7200900" y="2013672"/>
                <a:ext cx="5159775" cy="1455718"/>
                <a:chOff x="525612" y="7581760"/>
                <a:chExt cx="5511381" cy="1393368"/>
              </a:xfrm>
            </xdr:grpSpPr>
            <xdr:sp macro="" textlink="">
              <xdr:nvSpPr>
                <xdr:cNvPr id="147" name="txt_Etapa" descr="Somar horas entre outras horas: na célula D36 inserimos =((D35-D32)-(D34-D33))*24, que calcula as horas de trabalho de início e fim para uma pessoa e, em seguida, subtrai o tempo que levou para almoçar. O &quot;*24&quot; no final da fórmula converte a parte fracionária do dia que o Excel vê em horas. No entanto, você precisará Formatar a célula como um número. Para fazer isso, vá para Início &gt; Formatar &gt;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621705"/>
                  <a:ext cx="5059378" cy="1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outras horas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D36 inserimos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Página Inicial</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Etapa" descr="2">
                  <a:extLst>
                    <a:ext uri="{FF2B5EF4-FFF2-40B4-BE49-F238E27FC236}">
                      <a16:creationId xmlns:a16="http://schemas.microsoft.com/office/drawing/2014/main" id="{01C2BD5A-43C6-4B2A-81C9-44F9293E1619}"/>
                    </a:ext>
                  </a:extLst>
                </xdr:cNvPr>
                <xdr:cNvSpPr/>
              </xdr:nvSpPr>
              <xdr:spPr>
                <a:xfrm>
                  <a:off x="525612" y="7581760"/>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29" name="grp_Etapa">
                <a:extLst>
                  <a:ext uri="{FF2B5EF4-FFF2-40B4-BE49-F238E27FC236}">
                    <a16:creationId xmlns:a16="http://schemas.microsoft.com/office/drawing/2014/main" id="{37BDA65B-35DA-46DF-B41B-4F13939916CE}"/>
                  </a:ext>
                </a:extLst>
              </xdr:cNvPr>
              <xdr:cNvGrpSpPr/>
            </xdr:nvGrpSpPr>
            <xdr:grpSpPr>
              <a:xfrm>
                <a:off x="7200900" y="3429853"/>
                <a:ext cx="5159775" cy="1081885"/>
                <a:chOff x="525612" y="7680628"/>
                <a:chExt cx="5511381" cy="1035547"/>
              </a:xfrm>
            </xdr:grpSpPr>
            <xdr:sp macro="" textlink="">
              <xdr:nvSpPr>
                <xdr:cNvPr id="145" name="txt_Etapa" descr="Se essa fórmula pudesse falar, diria: &quot;Subtraia Hora de Saída de Hora de Entrada, depois subtraia Início do Almoço de Término do Almoço, em seguida multiplique o resultado por 24 para converter a hora fracionária do Excel em horas&quot;, ou =((Hora de Saída-Hora de Entrada)-(Término do Almoço-Início do Almoço))*24.">
                  <a:extLst>
                    <a:ext uri="{FF2B5EF4-FFF2-40B4-BE49-F238E27FC236}">
                      <a16:creationId xmlns:a16="http://schemas.microsoft.com/office/drawing/2014/main" id="{48EA3D5E-AB73-4DC6-A8F8-8EECF1D29572}"/>
                    </a:ext>
                  </a:extLst>
                </xdr:cNvPr>
                <xdr:cNvSpPr txBox="1"/>
              </xdr:nvSpPr>
              <xdr:spPr>
                <a:xfrm>
                  <a:off x="977615" y="7720574"/>
                  <a:ext cx="5059378" cy="99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essa fórmula pudesse falar, diria: "Subtraia Hora de Saída de Hora de Entrada, depois subtraia Início do Almoço de Término do Almoço, em seguida multiplique o resultado por 24 para converter a hora fracionária do Excel em horas", ou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Entrada)-(Término do Almoço - Início do Almoço))*24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Etapa" descr="3">
                  <a:extLst>
                    <a:ext uri="{FF2B5EF4-FFF2-40B4-BE49-F238E27FC236}">
                      <a16:creationId xmlns:a16="http://schemas.microsoft.com/office/drawing/2014/main" id="{A80445FC-915C-4C80-84C7-4F5844E68106}"/>
                    </a:ext>
                  </a:extLst>
                </xdr:cNvPr>
                <xdr:cNvSpPr/>
              </xdr:nvSpPr>
              <xdr:spPr>
                <a:xfrm>
                  <a:off x="525612" y="7680628"/>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850317" y="4479440"/>
                <a:ext cx="4458091" cy="2971792"/>
                <a:chOff x="7768842" y="4501931"/>
                <a:chExt cx="4745046" cy="2819569"/>
              </a:xfrm>
            </xdr:grpSpPr>
            <xdr:sp macro="" textlink="">
              <xdr:nvSpPr>
                <xdr:cNvPr id="131" name="ChaveDeFórmulaAnterior">
                  <a:extLst>
                    <a:ext uri="{FF2B5EF4-FFF2-40B4-BE49-F238E27FC236}">
                      <a16:creationId xmlns:a16="http://schemas.microsoft.com/office/drawing/2014/main" id="{A3F3B087-00D2-476D-AC4C-EB3A04318A49}"/>
                    </a:ext>
                  </a:extLst>
                </xdr:cNvPr>
                <xdr:cNvSpPr/>
              </xdr:nvSpPr>
              <xdr:spPr>
                <a:xfrm rot="16200000">
                  <a:off x="8913239" y="5551111"/>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DeFórmulaPosterior">
                  <a:extLst>
                    <a:ext uri="{FF2B5EF4-FFF2-40B4-BE49-F238E27FC236}">
                      <a16:creationId xmlns:a16="http://schemas.microsoft.com/office/drawing/2014/main" id="{7C65B1CB-F7F0-4F37-A997-175F5CFFD7C0}"/>
                    </a:ext>
                  </a:extLst>
                </xdr:cNvPr>
                <xdr:cNvSpPr/>
              </xdr:nvSpPr>
              <xdr:spPr>
                <a:xfrm rot="5400000">
                  <a:off x="11358058" y="4946378"/>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DeFórmulaPosterior">
                  <a:extLst>
                    <a:ext uri="{FF2B5EF4-FFF2-40B4-BE49-F238E27FC236}">
                      <a16:creationId xmlns:a16="http://schemas.microsoft.com/office/drawing/2014/main" id="{CF6D3514-478A-4DBA-A8E4-F612350013B5}"/>
                    </a:ext>
                  </a:extLst>
                </xdr:cNvPr>
                <xdr:cNvSpPr/>
              </xdr:nvSpPr>
              <xdr:spPr>
                <a:xfrm rot="5400000">
                  <a:off x="8247253" y="493336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340733"/>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e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621689"/>
                  <a:ext cx="893188"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eFórmulaSuperior" descr="O &quot;*24&quot; é usado para converter as frações de um dia n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680326" y="4501931"/>
                  <a:ext cx="1833562"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"*24" é usado para converter as frações de um dia no Excel em horas</a:t>
                  </a:r>
                </a:p>
              </xdr:txBody>
            </xdr:sp>
            <xdr:sp macro="" textlink="">
              <xdr:nvSpPr>
                <xdr:cNvPr id="137" name="txt_BalãoDe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901842"/>
                  <a:ext cx="731522"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DeFórmulaAnterior">
                  <a:extLst>
                    <a:ext uri="{FF2B5EF4-FFF2-40B4-BE49-F238E27FC236}">
                      <a16:creationId xmlns:a16="http://schemas.microsoft.com/office/drawing/2014/main" id="{A4A9F5A5-EF16-4EE5-91AA-7223F0B363A9}"/>
                    </a:ext>
                  </a:extLst>
                </xdr:cNvPr>
                <xdr:cNvSpPr/>
              </xdr:nvSpPr>
              <xdr:spPr>
                <a:xfrm rot="16200000">
                  <a:off x="10541562" y="5565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DeFórmulaPosterior">
                  <a:extLst>
                    <a:ext uri="{FF2B5EF4-FFF2-40B4-BE49-F238E27FC236}">
                      <a16:creationId xmlns:a16="http://schemas.microsoft.com/office/drawing/2014/main" id="{E9FAA5E1-CE6E-4068-9309-7BEC7468CAD9}"/>
                    </a:ext>
                  </a:extLst>
                </xdr:cNvPr>
                <xdr:cNvSpPr/>
              </xdr:nvSpPr>
              <xdr:spPr>
                <a:xfrm rot="5400000">
                  <a:off x="9870149" y="4947636"/>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e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635962"/>
                  <a:ext cx="906942"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Término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xt_BalãoDeFórmulaInferior" descr="Término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357639" y="5916116"/>
                  <a:ext cx="836054"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Início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DeFórmulaAnterior">
                  <a:extLst>
                    <a:ext uri="{FF2B5EF4-FFF2-40B4-BE49-F238E27FC236}">
                      <a16:creationId xmlns:a16="http://schemas.microsoft.com/office/drawing/2014/main" id="{5250274B-2899-460D-B59C-3A1662F7E28C}"/>
                    </a:ext>
                  </a:extLst>
                </xdr:cNvPr>
                <xdr:cNvSpPr/>
              </xdr:nvSpPr>
              <xdr:spPr>
                <a:xfrm rot="16200000">
                  <a:off x="8659276" y="5965538"/>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DeFórmulaAnterior">
                  <a:extLst>
                    <a:ext uri="{FF2B5EF4-FFF2-40B4-BE49-F238E27FC236}">
                      <a16:creationId xmlns:a16="http://schemas.microsoft.com/office/drawing/2014/main" id="{1D36D39A-C164-4F79-A807-42C3A0A9EA22}"/>
                    </a:ext>
                  </a:extLst>
                </xdr:cNvPr>
                <xdr:cNvSpPr/>
              </xdr:nvSpPr>
              <xdr:spPr>
                <a:xfrm rot="16200000">
                  <a:off x="10208905" y="5960775"/>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e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768842" y="6731375"/>
                  <a:ext cx="4583892"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Os parênteses internos () garantem que o Excel calcule essas partes da fórmula por si próprias. Os parênteses externos garantem que o Excel multiplique </a:t>
                  </a:r>
                  <a:r>
                    <a:rPr lang="pt-br" sz="1100" baseline="0">
                      <a:effectLst/>
                      <a:latin typeface="Calibri" panose="020F0502020204030204" pitchFamily="34" charset="0"/>
                      <a:ea typeface="Calibri" panose="020F0502020204030204" pitchFamily="34" charset="0"/>
                      <a:cs typeface="Times New Roman" panose="02020603050405020304" pitchFamily="18" charset="0"/>
                    </a:rPr>
                    <a:t>o resultado final interno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FCEE4E56-0B89-4F5D-A0A7-90EECC03D116}"/>
              </a:ext>
            </a:extLst>
          </xdr:cNvPr>
          <xdr:cNvSpPr/>
        </xdr:nvSpPr>
        <xdr:spPr>
          <a:xfrm flipH="1">
            <a:off x="609600" y="1268250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892C894D-1A63-4276-98DF-57872191F092}"/>
              </a:ext>
            </a:extLst>
          </xdr:cNvPr>
          <xdr:cNvSpPr/>
        </xdr:nvSpPr>
        <xdr:spPr>
          <a:xfrm>
            <a:off x="4532361" y="12682506"/>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grpSp>
    <xdr:clientData/>
  </xdr:twoCellAnchor>
  <xdr:twoCellAnchor editAs="absolute">
    <xdr:from>
      <xdr:col>1</xdr:col>
      <xdr:colOff>5486400</xdr:colOff>
      <xdr:row>47</xdr:row>
      <xdr:rowOff>94386</xdr:rowOff>
    </xdr:from>
    <xdr:to>
      <xdr:col>4</xdr:col>
      <xdr:colOff>390525</xdr:colOff>
      <xdr:row>57</xdr:row>
      <xdr:rowOff>28575</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34125" y="9962286"/>
          <a:ext cx="3190875" cy="1839189"/>
          <a:chOff x="6391275" y="8310595"/>
          <a:chExt cx="3190875" cy="1662080"/>
        </a:xfrm>
      </xdr:grpSpPr>
      <xdr:sp macro="" textlink="">
        <xdr:nvSpPr>
          <xdr:cNvPr id="154" name="Etapa"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usar atalhos de teclado para inserir datas e horas que não mudarão continuamente: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br" sz="1100" b="0" i="0" kern="1200" baseline="0">
                <a:solidFill>
                  <a:schemeClr val="dk1"/>
                </a:solidFill>
                <a:effectLst/>
                <a:latin typeface="+mn-lt"/>
                <a:ea typeface="+mn-ea"/>
                <a:cs typeface="+mn-cs"/>
              </a:rPr>
              <a:t>Data: </a:t>
            </a:r>
            <a:r>
              <a:rPr lang="pt-br" sz="1100" b="1" i="0" kern="1200" baseline="0">
                <a:solidFill>
                  <a:schemeClr val="dk1"/>
                </a:solidFill>
                <a:effectLst/>
                <a:latin typeface="+mn-lt"/>
                <a:ea typeface="+mn-ea"/>
                <a:cs typeface="+mn-cs"/>
              </a:rPr>
              <a:t>Ctrl+</a:t>
            </a:r>
            <a:r>
              <a:rPr lang="en-US" sz="1100" b="1"/>
              <a:t>;</a:t>
            </a:r>
            <a:r>
              <a:rPr lang="pt-br" sz="1100" b="0" i="0" kern="1200" baseline="0">
                <a:solidFill>
                  <a:schemeClr val="dk1"/>
                </a:solidFill>
                <a:effectLst/>
                <a:latin typeface="+mn-lt"/>
                <a:ea typeface="+mn-ea"/>
                <a:cs typeface="+mn-cs"/>
              </a:rPr>
              <a:t> </a:t>
            </a:r>
          </a:p>
          <a:p>
            <a:pPr algn="ctr" rtl="0" eaLnBrk="1" fontAlgn="auto" latinLnBrk="0" hangingPunct="1"/>
            <a:r>
              <a:rPr lang="pt-br" sz="1100" b="0" i="0" kern="1200" baseline="0">
                <a:solidFill>
                  <a:schemeClr val="dk1"/>
                </a:solidFill>
                <a:effectLst/>
                <a:latin typeface="+mn-lt"/>
                <a:ea typeface="+mn-ea"/>
                <a:cs typeface="+mn-cs"/>
              </a:rPr>
              <a:t>Hora: </a:t>
            </a:r>
            <a:r>
              <a:rPr lang="pt-br"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Elemento 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7897907" y="8020563"/>
            <a:ext cx="544253" cy="1124318"/>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114300</xdr:rowOff>
    </xdr:from>
    <xdr:to>
      <xdr:col>1</xdr:col>
      <xdr:colOff>5228463</xdr:colOff>
      <xdr:row>80</xdr:row>
      <xdr:rowOff>152400</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601700"/>
          <a:ext cx="5733288" cy="270510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Etapa"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ctor reto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ctor reto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92794</xdr:rowOff>
    </xdr:from>
    <xdr:to>
      <xdr:col>1</xdr:col>
      <xdr:colOff>2590800</xdr:colOff>
      <xdr:row>72</xdr:row>
      <xdr:rowOff>70873</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4342194"/>
          <a:ext cx="2866594" cy="359079"/>
          <a:chOff x="571931" y="13599244"/>
          <a:chExt cx="2866594" cy="359079"/>
        </a:xfrm>
      </xdr:grpSpPr>
      <xdr:sp macro="" textlink="">
        <xdr:nvSpPr>
          <xdr:cNvPr id="162" name="Etapa" descr="Tudo sobre a função HOJE, com um hiperlink para a Web&#10;&#10;">
            <a:hlinkClick xmlns:r="http://schemas.openxmlformats.org/officeDocument/2006/relationships" r:id="rId5" tooltip="Selecione para aprender tudo sobre a função HOJE na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127341</xdr:rowOff>
    </xdr:from>
    <xdr:to>
      <xdr:col>1</xdr:col>
      <xdr:colOff>2619375</xdr:colOff>
      <xdr:row>74</xdr:row>
      <xdr:rowOff>110730</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757741"/>
          <a:ext cx="2895169" cy="364389"/>
          <a:chOff x="571931" y="14014791"/>
          <a:chExt cx="2895169" cy="364389"/>
        </a:xfrm>
      </xdr:grpSpPr>
      <xdr:sp macro="" textlink="">
        <xdr:nvSpPr>
          <xdr:cNvPr id="164" name="Etapa" descr="Tudo sobre a função AGORA, com um hiperlink para a Web&#10;">
            <a:hlinkClick xmlns:r="http://schemas.openxmlformats.org/officeDocument/2006/relationships" r:id="rId8" tooltip="Selecione para aprender tudo sobre a função AGORA na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77</xdr:row>
      <xdr:rowOff>51103</xdr:rowOff>
    </xdr:from>
    <xdr:to>
      <xdr:col>1</xdr:col>
      <xdr:colOff>3467100</xdr:colOff>
      <xdr:row>79</xdr:row>
      <xdr:rowOff>34492</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4540" y="15634003"/>
          <a:ext cx="3730285" cy="364389"/>
          <a:chOff x="584540" y="14891053"/>
          <a:chExt cx="3730285" cy="364389"/>
        </a:xfrm>
      </xdr:grpSpPr>
      <xdr:sp macro="" textlink="">
        <xdr:nvSpPr>
          <xdr:cNvPr id="166"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3AA6BF12-05BC-4A54-8192-040964AEB7FE}"/>
              </a:ext>
            </a:extLst>
          </xdr:cNvPr>
          <xdr:cNvSpPr txBox="1"/>
        </xdr:nvSpPr>
        <xdr:spPr>
          <a:xfrm>
            <a:off x="1049724" y="14913582"/>
            <a:ext cx="32651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67"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74</xdr:row>
      <xdr:rowOff>167198</xdr:rowOff>
    </xdr:from>
    <xdr:to>
      <xdr:col>1</xdr:col>
      <xdr:colOff>2628900</xdr:colOff>
      <xdr:row>76</xdr:row>
      <xdr:rowOff>150587</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1456" y="15178598"/>
          <a:ext cx="2895169" cy="364389"/>
          <a:chOff x="581456" y="14435648"/>
          <a:chExt cx="2895169" cy="364389"/>
        </a:xfrm>
      </xdr:grpSpPr>
      <xdr:sp macro="" textlink="">
        <xdr:nvSpPr>
          <xdr:cNvPr id="168" name="Etapa" descr="Tudo sobre a função DATA, com um hiperlink para a Web&#10;">
            <a:hlinkClick xmlns:r="http://schemas.openxmlformats.org/officeDocument/2006/relationships" r:id="rId10" tooltip="Selecione para aprender tudo sobre a função DATA na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69683</xdr:colOff>
      <xdr:row>6</xdr:row>
      <xdr:rowOff>120354</xdr:rowOff>
    </xdr:from>
    <xdr:to>
      <xdr:col>10</xdr:col>
      <xdr:colOff>268816</xdr:colOff>
      <xdr:row>13</xdr:row>
      <xdr:rowOff>120648</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204158" y="2082504"/>
          <a:ext cx="3961508" cy="1390944"/>
          <a:chOff x="6396316" y="11324814"/>
          <a:chExt cx="4106584"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br" sz="1100" b="0" i="0" kern="1200" baseline="0">
                <a:solidFill>
                  <a:schemeClr val="dk1"/>
                </a:solidFill>
                <a:effectLst/>
                <a:latin typeface="+mn-lt"/>
                <a:ea typeface="+mn-ea"/>
                <a:cs typeface="+mn-cs"/>
              </a:rPr>
              <a:t>Se não deseja que o Excel exiba um número negativo porque você ainda não inseriu seu aniversário, use uma função SE como esta: </a:t>
            </a:r>
            <a:r>
              <a:rPr lang="pt-br" sz="1100" b="1" i="0" kern="1200" baseline="0">
                <a:solidFill>
                  <a:schemeClr val="dk1"/>
                </a:solidFill>
                <a:effectLst/>
                <a:latin typeface="+mn-lt"/>
                <a:ea typeface="+mn-ea"/>
                <a:cs typeface="+mn-cs"/>
              </a:rPr>
              <a:t>=SE(D7="";"";D7-D6)</a:t>
            </a:r>
            <a:r>
              <a:rPr lang="pt-br" sz="1100" b="0" i="0" kern="1200" baseline="0">
                <a:solidFill>
                  <a:schemeClr val="dk1"/>
                </a:solidFill>
                <a:effectLst/>
                <a:latin typeface="+mn-lt"/>
                <a:ea typeface="+mn-ea"/>
                <a:cs typeface="+mn-cs"/>
              </a:rPr>
              <a:t>, que significa: "SE D7 for igual a nada, mostre nada, caso contrário, mostre D7 menos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48</xdr:row>
      <xdr:rowOff>171450</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5019675"/>
          <a:ext cx="5734050" cy="4867275"/>
          <a:chOff x="323850" y="5019675"/>
          <a:chExt cx="5734050" cy="4867275"/>
        </a:xfrm>
      </xdr:grpSpPr>
      <xdr:grpSp>
        <xdr:nvGrpSpPr>
          <xdr:cNvPr id="58" name="grp_PainelDoTour">
            <a:extLst>
              <a:ext uri="{FF2B5EF4-FFF2-40B4-BE49-F238E27FC236}">
                <a16:creationId xmlns:a16="http://schemas.microsoft.com/office/drawing/2014/main" id="{3E43ADA2-5F3E-45C6-BA66-1973A0B1F638}"/>
              </a:ext>
            </a:extLst>
          </xdr:cNvPr>
          <xdr:cNvGrpSpPr/>
        </xdr:nvGrpSpPr>
        <xdr:grpSpPr>
          <a:xfrm>
            <a:off x="323850" y="5019675"/>
            <a:ext cx="5734050" cy="4867275"/>
            <a:chOff x="609600" y="1524000"/>
            <a:chExt cx="5695950" cy="4918509"/>
          </a:xfrm>
        </xdr:grpSpPr>
        <xdr:sp macro="" textlink="">
          <xdr:nvSpPr>
            <xdr:cNvPr id="59" name="txt_PlanoDeFundoDoTour" descr="Plano de fundo">
              <a:extLst>
                <a:ext uri="{FF2B5EF4-FFF2-40B4-BE49-F238E27FC236}">
                  <a16:creationId xmlns:a16="http://schemas.microsoft.com/office/drawing/2014/main" id="{746CE660-670F-48DE-9B5A-8F87BB149114}"/>
                </a:ext>
              </a:extLst>
            </xdr:cNvPr>
            <xdr:cNvSpPr/>
          </xdr:nvSpPr>
          <xdr:spPr>
            <a:xfrm>
              <a:off x="609600" y="1524000"/>
              <a:ext cx="5695950" cy="491850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oTour" descr="Usar texto e números juntos">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 texto e números juntos</a:t>
              </a:r>
            </a:p>
          </xdr:txBody>
        </xdr:sp>
        <xdr:cxnSp macro="">
          <xdr:nvCxnSpPr>
            <xdr:cNvPr id="61" name="txt_LinhaDoTour1" descr="Linh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DoTour2" descr="Linha decorativa">
              <a:extLst>
                <a:ext uri="{FF2B5EF4-FFF2-40B4-BE49-F238E27FC236}">
                  <a16:creationId xmlns:a16="http://schemas.microsoft.com/office/drawing/2014/main" id="{A29D6EA9-B97F-4F30-9031-1B1934F6D015}"/>
                </a:ext>
              </a:extLst>
            </xdr:cNvPr>
            <xdr:cNvCxnSpPr>
              <a:cxnSpLocks/>
            </xdr:cNvCxnSpPr>
          </xdr:nvCxnSpPr>
          <xdr:spPr>
            <a:xfrm>
              <a:off x="850887" y="57594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oTour"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usar o &amp; para unir texto e números, não apenas texto e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Veja as células C28:D29. Vê como a data e as horas estão em células separadas? Você pode uni-las com o símbolo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um código de formatação.</a:t>
              </a:r>
            </a:p>
          </xdr:txBody>
        </xdr:sp>
      </xdr:grpSp>
      <xdr:grpSp>
        <xdr:nvGrpSpPr>
          <xdr:cNvPr id="64" name="grp_Etapa">
            <a:extLst>
              <a:ext uri="{FF2B5EF4-FFF2-40B4-BE49-F238E27FC236}">
                <a16:creationId xmlns:a16="http://schemas.microsoft.com/office/drawing/2014/main" id="{C6BDB8A3-21FE-4EAA-A451-F595D7A1CFD1}"/>
              </a:ext>
            </a:extLst>
          </xdr:cNvPr>
          <xdr:cNvGrpSpPr/>
        </xdr:nvGrpSpPr>
        <xdr:grpSpPr>
          <a:xfrm>
            <a:off x="561975" y="7600950"/>
            <a:ext cx="5229626" cy="685800"/>
            <a:chOff x="619063" y="7810500"/>
            <a:chExt cx="5195697" cy="685800"/>
          </a:xfrm>
        </xdr:grpSpPr>
        <xdr:sp macro="" textlink="">
          <xdr:nvSpPr>
            <xdr:cNvPr id="65" name="txt_Etapa" descr="Na célula C36, digite =C28&amp;&quot; &quot;&amp;TEXTO(D28;&quot;DD/MM/AAAA&quot;). DD/MM/AAAA é o código de formatação brasileiro para dia/mês/ano, como 25/09/2017.&#10;&#10;">
              <a:extLst>
                <a:ext uri="{FF2B5EF4-FFF2-40B4-BE49-F238E27FC236}">
                  <a16:creationId xmlns:a16="http://schemas.microsoft.com/office/drawing/2014/main" id="{DDE71C24-EA69-4FB1-9319-E270E463554C}"/>
                </a:ext>
              </a:extLst>
            </xdr:cNvPr>
            <xdr:cNvSpPr txBox="1"/>
          </xdr:nvSpPr>
          <xdr:spPr>
            <a:xfrm>
              <a:off x="1036221" y="7852458"/>
              <a:ext cx="4778539" cy="64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"&amp;TEXTO(D28;"DD/MM/AAAA")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DD/MM/AAAA é o código de formatação brasileiro para dia/mês/ano, como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Etapa"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67" name="grp_Etapa">
            <a:extLst>
              <a:ext uri="{FF2B5EF4-FFF2-40B4-BE49-F238E27FC236}">
                <a16:creationId xmlns:a16="http://schemas.microsoft.com/office/drawing/2014/main" id="{400221E8-F2AA-445E-86DD-DDE14B5B3DC8}"/>
              </a:ext>
            </a:extLst>
          </xdr:cNvPr>
          <xdr:cNvGrpSpPr/>
        </xdr:nvGrpSpPr>
        <xdr:grpSpPr>
          <a:xfrm>
            <a:off x="561975" y="8334375"/>
            <a:ext cx="5229626" cy="752475"/>
            <a:chOff x="619063" y="7962900"/>
            <a:chExt cx="5195697" cy="752475"/>
          </a:xfrm>
        </xdr:grpSpPr>
        <xdr:sp macro="" textlink="">
          <xdr:nvSpPr>
            <xdr:cNvPr id="68" name="txt_Etapa" descr="Na célula C37, digite =C29&amp;&quot; &quot;&amp;TEXTO(D29;&quot;[HH]:MM&quot;).[HH]:MM é o código de formatação brasileiro para Horas:Minutos, com as horas no formato de 24 horas, tal como 13:30.&#10;">
              <a:extLst>
                <a:ext uri="{FF2B5EF4-FFF2-40B4-BE49-F238E27FC236}">
                  <a16:creationId xmlns:a16="http://schemas.microsoft.com/office/drawing/2014/main" id="{CEB49487-C445-4B69-9112-51698E7250F2}"/>
                </a:ext>
              </a:extLst>
            </xdr:cNvPr>
            <xdr:cNvSpPr txBox="1"/>
          </xdr:nvSpPr>
          <xdr:spPr>
            <a:xfrm>
              <a:off x="1036221" y="8004858"/>
              <a:ext cx="4778539" cy="710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de formatação brasileiro para Horas:Minutos</a:t>
              </a:r>
              <a:r>
                <a:rPr sz="1100" b="0">
                  <a:latin typeface="Segoe UI" panose="020B0502040204020203"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com as horas no formato de 24 horas, como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2">
              <a:extLst>
                <a:ext uri="{FF2B5EF4-FFF2-40B4-BE49-F238E27FC236}">
                  <a16:creationId xmlns:a16="http://schemas.microsoft.com/office/drawing/2014/main" id="{D170A5A8-EB2A-420E-AFF9-3414BA79F7BF}"/>
                </a:ext>
              </a:extLst>
            </xdr:cNvPr>
            <xdr:cNvSpPr/>
          </xdr:nvSpPr>
          <xdr:spPr>
            <a:xfrm>
              <a:off x="619063"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46</xdr:row>
      <xdr:rowOff>57150</xdr:rowOff>
    </xdr:from>
    <xdr:to>
      <xdr:col>1</xdr:col>
      <xdr:colOff>970370</xdr:colOff>
      <xdr:row>48</xdr:row>
      <xdr:rowOff>11599</xdr:rowOff>
    </xdr:to>
    <xdr:sp macro="" textlink="">
      <xdr:nvSpPr>
        <xdr:cNvPr id="70" name="BotãoAnterior" descr="Retornar para a planilha anterior">
          <a:hlinkClick xmlns:r="http://schemas.openxmlformats.org/officeDocument/2006/relationships" r:id="rId1" tooltip="Clique aqui para voltar à planilha anterior"/>
          <a:extLst>
            <a:ext uri="{FF2B5EF4-FFF2-40B4-BE49-F238E27FC236}">
              <a16:creationId xmlns:a16="http://schemas.microsoft.com/office/drawing/2014/main" id="{DCA6AC04-F66C-44EC-86B5-CE167DBCCA5F}"/>
            </a:ext>
          </a:extLst>
        </xdr:cNvPr>
        <xdr:cNvSpPr/>
      </xdr:nvSpPr>
      <xdr:spPr>
        <a:xfrm flipH="1">
          <a:off x="542925"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46</xdr:row>
      <xdr:rowOff>57150</xdr:rowOff>
    </xdr:from>
    <xdr:to>
      <xdr:col>1</xdr:col>
      <xdr:colOff>4988381</xdr:colOff>
      <xdr:row>48</xdr:row>
      <xdr:rowOff>11599</xdr:rowOff>
    </xdr:to>
    <xdr:sp macro="" textlink="">
      <xdr:nvSpPr>
        <xdr:cNvPr id="71" name="BotãoAvançar" descr="Avançar para a próxima planilha">
          <a:hlinkClick xmlns:r="http://schemas.openxmlformats.org/officeDocument/2006/relationships" r:id="rId2" tooltip="Clique aqui para avançar para a próxima planilha"/>
          <a:extLst>
            <a:ext uri="{FF2B5EF4-FFF2-40B4-BE49-F238E27FC236}">
              <a16:creationId xmlns:a16="http://schemas.microsoft.com/office/drawing/2014/main" id="{625A78A7-925A-4E8E-B9FF-D88914AFC403}"/>
            </a:ext>
          </a:extLst>
        </xdr:cNvPr>
        <xdr:cNvSpPr/>
      </xdr:nvSpPr>
      <xdr:spPr>
        <a:xfrm>
          <a:off x="4560936"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VALE A PENA EXPLORAR" descr="VALE A PENA EXPLORAR">
          <a:extLst>
            <a:ext uri="{FF2B5EF4-FFF2-40B4-BE49-F238E27FC236}">
              <a16:creationId xmlns:a16="http://schemas.microsoft.com/office/drawing/2014/main" id="{D3F697DB-2CF8-4D23-9E17-2125613D49A8}"/>
            </a:ext>
          </a:extLst>
        </xdr:cNvPr>
        <xdr:cNvGrpSpPr/>
      </xdr:nvGrpSpPr>
      <xdr:grpSpPr>
        <a:xfrm>
          <a:off x="6300787" y="8505825"/>
          <a:ext cx="3335866" cy="1715559"/>
          <a:chOff x="8477250" y="8591549"/>
          <a:chExt cx="3314700" cy="1504951"/>
        </a:xfrm>
      </xdr:grpSpPr>
      <xdr:pic>
        <xdr:nvPicPr>
          <xdr:cNvPr id="73" name="Elemento 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Etapa"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VALE A PENA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Se você não sabe qual código de formatação usar, use </a:t>
            </a:r>
            <a:r>
              <a:rPr lang="pt-br" sz="1100" b="1" kern="0">
                <a:solidFill>
                  <a:schemeClr val="bg2">
                    <a:lumMod val="25000"/>
                  </a:schemeClr>
                </a:solidFill>
                <a:ea typeface="Segoe UI" pitchFamily="34" charset="0"/>
                <a:cs typeface="Segoe UI Light" panose="020B0502040204020203" pitchFamily="34" charset="0"/>
              </a:rPr>
              <a:t>Ctrl+1</a:t>
            </a:r>
            <a:r>
              <a:rPr lang="pt-br" sz="1100" kern="0">
                <a:solidFill>
                  <a:schemeClr val="bg2">
                    <a:lumMod val="25000"/>
                  </a:schemeClr>
                </a:solidFill>
                <a:ea typeface="Segoe UI" pitchFamily="34" charset="0"/>
                <a:cs typeface="Segoe UI Light" panose="020B0502040204020203" pitchFamily="34" charset="0"/>
              </a:rPr>
              <a:t> &gt; </a:t>
            </a:r>
            <a:r>
              <a:rPr lang="pt-br" sz="1100" b="1" kern="0">
                <a:solidFill>
                  <a:schemeClr val="bg2">
                    <a:lumMod val="25000"/>
                  </a:schemeClr>
                </a:solidFill>
                <a:ea typeface="Segoe UI" pitchFamily="34" charset="0"/>
                <a:cs typeface="Segoe UI Light" panose="020B0502040204020203" pitchFamily="34" charset="0"/>
              </a:rPr>
              <a:t>Número</a:t>
            </a:r>
            <a:r>
              <a:rPr lang="pt-br" sz="1100" kern="0">
                <a:solidFill>
                  <a:schemeClr val="bg2">
                    <a:lumMod val="25000"/>
                  </a:schemeClr>
                </a:solidFill>
                <a:ea typeface="Segoe UI" pitchFamily="34" charset="0"/>
                <a:cs typeface="Segoe UI Light" panose="020B0502040204020203" pitchFamily="34" charset="0"/>
              </a:rPr>
              <a:t> para formatar qualquer célula da maneira desejada. Em seguida, selecione a opção </a:t>
            </a:r>
            <a:r>
              <a:rPr lang="pt-br" sz="1100" b="1" kern="0">
                <a:solidFill>
                  <a:schemeClr val="bg2">
                    <a:lumMod val="25000"/>
                  </a:schemeClr>
                </a:solidFill>
                <a:ea typeface="Segoe UI" pitchFamily="34" charset="0"/>
                <a:cs typeface="Segoe UI Light" panose="020B0502040204020203" pitchFamily="34" charset="0"/>
              </a:rPr>
              <a:t>Personalizado</a:t>
            </a:r>
            <a:r>
              <a:rPr lang="pt-br" sz="1100" b="0" kern="0">
                <a:solidFill>
                  <a:schemeClr val="bg2">
                    <a:lumMod val="25000"/>
                  </a:schemeClr>
                </a:solidFill>
                <a:ea typeface="Segoe UI" pitchFamily="34" charset="0"/>
                <a:cs typeface="Segoe UI Light" panose="020B0502040204020203" pitchFamily="34" charset="0"/>
              </a:rPr>
              <a:t>.</a:t>
            </a:r>
            <a:r>
              <a:rPr lang="pt-br" sz="1100" kern="0">
                <a:solidFill>
                  <a:schemeClr val="bg2">
                    <a:lumMod val="25000"/>
                  </a:schemeClr>
                </a:solidFill>
                <a:ea typeface="Segoe UI" pitchFamily="34" charset="0"/>
                <a:cs typeface="Segoe UI Light" panose="020B0502040204020203" pitchFamily="34" charset="0"/>
              </a:rPr>
              <a:t> Você pode copiar o código de formatação que é exibido para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49</xdr:row>
      <xdr:rowOff>95249</xdr:rowOff>
    </xdr:from>
    <xdr:to>
      <xdr:col>1</xdr:col>
      <xdr:colOff>5209413</xdr:colOff>
      <xdr:row>61</xdr:row>
      <xdr:rowOff>161925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10001249"/>
          <a:ext cx="5733288" cy="2352676"/>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Etapa"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ctor reto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ctor reto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53</xdr:row>
      <xdr:rowOff>95426</xdr:rowOff>
    </xdr:from>
    <xdr:to>
      <xdr:col>1</xdr:col>
      <xdr:colOff>2572868</xdr:colOff>
      <xdr:row>55</xdr:row>
      <xdr:rowOff>71042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763426"/>
          <a:ext cx="2885386" cy="356616"/>
          <a:chOff x="535207" y="10201451"/>
          <a:chExt cx="2885386" cy="356616"/>
        </a:xfrm>
      </xdr:grpSpPr>
      <xdr:sp macro="" textlink="">
        <xdr:nvSpPr>
          <xdr:cNvPr id="80" name="Etapa" descr="Tudo sobre a função TEXTO&#10;&#10;&#10;">
            <a:hlinkClick xmlns:r="http://schemas.openxmlformats.org/officeDocument/2006/relationships" r:id="rId5" tooltip="Selecione para aprender tudo sobre a função TEXTO na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55</xdr:row>
      <xdr:rowOff>116642</xdr:rowOff>
    </xdr:from>
    <xdr:to>
      <xdr:col>1</xdr:col>
      <xdr:colOff>2601630</xdr:colOff>
      <xdr:row>57</xdr:row>
      <xdr:rowOff>92258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1165642"/>
          <a:ext cx="2914148" cy="356616"/>
          <a:chOff x="535207" y="10603667"/>
          <a:chExt cx="2914148" cy="356616"/>
        </a:xfrm>
      </xdr:grpSpPr>
      <xdr:sp macro="" textlink="">
        <xdr:nvSpPr>
          <xdr:cNvPr id="82" name="Etapa" descr="Combinar texto e números, com um hiperlink para a Web&#10;">
            <a:hlinkClick xmlns:r="http://schemas.openxmlformats.org/officeDocument/2006/relationships" r:id="rId8" tooltip="Selecione para aprender tudo sobre como combinar texto e números na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57</xdr:row>
      <xdr:rowOff>143192</xdr:rowOff>
    </xdr:from>
    <xdr:to>
      <xdr:col>1</xdr:col>
      <xdr:colOff>3181349</xdr:colOff>
      <xdr:row>59</xdr:row>
      <xdr:rowOff>118808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573192"/>
          <a:ext cx="3481175" cy="356616"/>
          <a:chOff x="547899" y="11011217"/>
          <a:chExt cx="3481175" cy="356616"/>
        </a:xfrm>
      </xdr:grpSpPr>
      <xdr:sp macro="" textlink="">
        <xdr:nvSpPr>
          <xdr:cNvPr id="84"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135564DB-95BA-4D69-9BB4-47DFF364A7BC}"/>
              </a:ext>
            </a:extLst>
          </xdr:cNvPr>
          <xdr:cNvSpPr txBox="1"/>
        </xdr:nvSpPr>
        <xdr:spPr>
          <a:xfrm>
            <a:off x="1016131" y="11062558"/>
            <a:ext cx="301294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5"/>
          <a:ext cx="5734050" cy="4572000"/>
          <a:chOff x="0" y="0"/>
          <a:chExt cx="5734050" cy="4572000"/>
        </a:xfrm>
      </xdr:grpSpPr>
      <xdr:grpSp>
        <xdr:nvGrpSpPr>
          <xdr:cNvPr id="87" name="grp_PainelDoTour">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PlanoDeFundoDoTour" descr="Plano de fundo">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oTour"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DoTour1"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DoTour2" descr="Linha decorativa">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oTour" descr="Há muitas vezes que você quer unir texto no Excel que está em células diferentes. Este exemplo é muito comum, casos em que você tem nomes e sobrenomes e deseja combinar como Nome, Sobrenome ou como Nome completo. Felizmente, o Excel nos permite fazer isso com o símbolo &amp; (Shift+7).">
              <a:extLst>
                <a:ext uri="{FF2B5EF4-FFF2-40B4-BE49-F238E27FC236}">
                  <a16:creationId xmlns:a16="http://schemas.microsoft.com/office/drawing/2014/main" id="{D2702511-4771-4838-A3C1-0C5BA687014B}"/>
                </a:ext>
              </a:extLst>
            </xdr:cNvPr>
            <xdr:cNvSpPr txBox="1"/>
          </xdr:nvSpPr>
          <xdr:spPr>
            <a:xfrm>
              <a:off x="846305" y="2224165"/>
              <a:ext cx="5203779"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você pode inserir com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Etapa">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Etapa" descr="Na célula E3, digite =D3&amp;C3 para unir o sobrenome e o nome.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unir o nome e o sobrenome.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Etapa"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9" name="grp_Etapa">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txt_Etapa" descr="CardosoLara não soa muito bem. Precisamos adicionar uma vírgula e um espaço. Para fazer isso, usaremos aspas para criar uma nova cadeia de texto. Desta vez, digite =D3&amp;&quot;,&quot;&amp;C3. A parte &amp;&quot;, &quot;&amp; permite colocar uma vírgula e um espaço com o texto nas células.&#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CardosoLara não soa muito bem. É necessário adicionar uma vírgula e um espaço. Para fazer isso, usaremos aspas para criar uma nova cadeia de texto. Desta vez,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=D3&amp;";"&amp;C3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colocar uma vírgula e um espaço com 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Etapa"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90" name="grp_Etapa">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Etapa" descr="Para criar o nome completo, uniremos o nome e o sobrenome, mas usaremos um espaço sem a vírgula. Na célula F3, digite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o nome completo, uniremos o nome e o sobrenome, mas usaremos um espaço sem a vírgula. Na célula F3,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Etapa"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VisãoProfunda" descr="Veja mais detalhes abaixo">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BotãoAvançar" descr="Avançar para a próxima planilha">
          <a:hlinkClick xmlns:r="http://schemas.openxmlformats.org/officeDocument/2006/relationships" r:id="rId2" tooltip="Clique aqui para ir para a próxima planilha"/>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1000124</xdr:colOff>
      <xdr:row>33</xdr:row>
      <xdr:rowOff>66675</xdr:rowOff>
    </xdr:from>
    <xdr:to>
      <xdr:col>7</xdr:col>
      <xdr:colOff>400049</xdr:colOff>
      <xdr:row>41</xdr:row>
      <xdr:rowOff>0</xdr:rowOff>
    </xdr:to>
    <xdr:grpSp>
      <xdr:nvGrpSpPr>
        <xdr:cNvPr id="104" name="VEJA ISTO" descr="VEJA ISTO&#10;&#10;">
          <a:extLst>
            <a:ext uri="{FF2B5EF4-FFF2-40B4-BE49-F238E27FC236}">
              <a16:creationId xmlns:a16="http://schemas.microsoft.com/office/drawing/2014/main" id="{EFD4E48E-5D2B-4B5E-9DBB-99430A62BD96}"/>
            </a:ext>
          </a:extLst>
        </xdr:cNvPr>
        <xdr:cNvGrpSpPr/>
      </xdr:nvGrpSpPr>
      <xdr:grpSpPr>
        <a:xfrm>
          <a:off x="8458199" y="6924675"/>
          <a:ext cx="3629025" cy="1457325"/>
          <a:chOff x="7539454" y="7993902"/>
          <a:chExt cx="3628848" cy="1725474"/>
        </a:xfrm>
      </xdr:grpSpPr>
      <xdr:grpSp>
        <xdr:nvGrpSpPr>
          <xdr:cNvPr id="105" name="Linha de colchete">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olchete" descr="Linha de colchet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olchete" descr="Linha de colchet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35774" cy="172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Fórmulas,</a:t>
            </a:r>
            <a:r>
              <a:rPr lang="pt-br" sz="1100" kern="0" baseline="0">
                <a:solidFill>
                  <a:schemeClr val="bg2">
                    <a:lumMod val="25000"/>
                  </a:schemeClr>
                </a:solidFill>
                <a:latin typeface="+mn-lt"/>
                <a:ea typeface="Segoe UI" pitchFamily="34" charset="0"/>
                <a:cs typeface="Segoe UI Light" panose="020B0502040204020203" pitchFamily="34" charset="0"/>
              </a:rPr>
              <a:t> especialmente as grandes, podem às vezes ser difíceis de ler, mas você pode dividi-las com espaços, assim:</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br" sz="1100" b="1">
                <a:solidFill>
                  <a:schemeClr val="bg2">
                    <a:lumMod val="25000"/>
                  </a:schemeClr>
                </a:solidFill>
                <a:latin typeface="+mn-lt"/>
                <a:ea typeface="Segoe UI" pitchFamily="34" charset="0"/>
                <a:cs typeface="Segoe UI Light" panose="020B0502040204020203" pitchFamily="34" charset="0"/>
              </a:rPr>
              <a:t>=C28 &amp; " " &amp; TEXTO(D28;"</a:t>
            </a:r>
            <a:r>
              <a:rPr lang="pt-BR" sz="1100" b="1">
                <a:solidFill>
                  <a:schemeClr val="bg2">
                    <a:lumMod val="25000"/>
                  </a:schemeClr>
                </a:solidFill>
                <a:latin typeface="+mn-lt"/>
                <a:ea typeface="Segoe UI" pitchFamily="34" charset="0"/>
                <a:cs typeface="Segoe UI Light" panose="020B0502040204020203" pitchFamily="34" charset="0"/>
              </a:rPr>
              <a:t>DD/MM/AAAA</a:t>
            </a:r>
            <a:r>
              <a:rPr lang="pt-br"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61950"/>
          <a:ext cx="5734050" cy="4557099"/>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PlanoDeFundoDoTour" descr="Plano de 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oTour"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DoTour1"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DoTour2"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oTour" descr="Instruções SE possibilitam que você faça comparações lógicas entre condições. Em geral, uma instrução SE diz o seguinte: se uma condição é verdadeira, faça tal coisa; caso contrário, a condição é falsa, então, faça outra coisa. As fórmulas podem retornar texto, valores ou ainda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possibilitam que você faça comparações lógicas entre condições. Uma instrução SE geralmente diz o seguinte: se uma condição é verdadeira, faça tal coisa; caso contrário, faça outra coisa. As fórmulas podem retornar texto, valores ou ainda mais cálculos.</a:t>
              </a:r>
            </a:p>
          </xdr:txBody>
        </xdr:sp>
      </xdr:grpSp>
      <xdr:grpSp>
        <xdr:nvGrpSpPr>
          <xdr:cNvPr id="81" name="grp_Etapa">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Etapa" descr="Na célula D9, digite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insira</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=SE(C9="Maçã";VERDADEIRO;FALSO)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Etapa"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4" name="grp_Etapa">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Etapa" descr="Copie o conteúdo de D9 para D10. A resposta aqui deve ser FALSO, já que laranja não é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 conteúdo de D9 para D10. A resposta aqui deve ser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já que laranja não é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Etapa"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87" name="grp_Etapa">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Etapa" descr="Tente outro exemplo; veja a fórmula na célula D12. Você começou com =SE(C12&lt;100;&quot;Menor que 100&quot;;&quot;Maior ou igual a 100&quot;). O que acontece se você inserir um número maior do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outro exemplo; veja a fórmula na célula D12. Você começou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ou igual a 100")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você inserir um número maior ou igual a 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Etapa"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2</xdr:col>
      <xdr:colOff>420093</xdr:colOff>
      <xdr:row>13</xdr:row>
      <xdr:rowOff>173234</xdr:rowOff>
    </xdr:from>
    <xdr:to>
      <xdr:col>5</xdr:col>
      <xdr:colOff>581036</xdr:colOff>
      <xdr:row>21</xdr:row>
      <xdr:rowOff>161921</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792318" y="3221234"/>
          <a:ext cx="3656618" cy="1512687"/>
          <a:chOff x="6863991" y="11363324"/>
          <a:chExt cx="2736277" cy="1288705"/>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4"/>
            <a:ext cx="2526368" cy="128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VERDADEIRO</a:t>
            </a:r>
            <a:r>
              <a:rPr lang="pt-br" sz="1100" b="0" i="0" kern="1200" baseline="0">
                <a:solidFill>
                  <a:schemeClr val="dk1"/>
                </a:solidFill>
                <a:effectLst/>
                <a:latin typeface="+mn-lt"/>
                <a:ea typeface="+mn-ea"/>
                <a:cs typeface="+mn-cs"/>
              </a:rPr>
              <a:t> e </a:t>
            </a:r>
            <a:r>
              <a:rPr lang="pt-br" sz="1100" b="1" i="0" kern="1200" baseline="0">
                <a:solidFill>
                  <a:schemeClr val="dk1"/>
                </a:solidFill>
                <a:effectLst/>
                <a:latin typeface="+mn-lt"/>
                <a:ea typeface="+mn-ea"/>
                <a:cs typeface="+mn-cs"/>
              </a:rPr>
              <a:t>FALSO </a:t>
            </a:r>
            <a:r>
              <a:rPr lang="pt-br" sz="1100" b="0" i="0" kern="1200" baseline="0">
                <a:solidFill>
                  <a:schemeClr val="dk1"/>
                </a:solidFill>
                <a:effectLst/>
                <a:latin typeface="+mn-lt"/>
                <a:ea typeface="+mn-ea"/>
                <a:cs typeface="+mn-cs"/>
              </a:rPr>
              <a:t>são diferentes de outras palavras em fórmulas do Excel, porque não precisam estar entre aspas, e o Excel as coloca automaticamente em maiúsculas. Os números também não precisam estar entre aspas. Texto normal, como </a:t>
            </a:r>
            <a:r>
              <a:rPr lang="pt-br" sz="1100" b="1" i="0" kern="1200" baseline="0">
                <a:solidFill>
                  <a:schemeClr val="dk1"/>
                </a:solidFill>
                <a:effectLst/>
                <a:latin typeface="+mn-lt"/>
                <a:ea typeface="+mn-ea"/>
                <a:cs typeface="+mn-cs"/>
              </a:rPr>
              <a:t>Sim</a:t>
            </a:r>
            <a:r>
              <a:rPr lang="pt-br" sz="1100" b="0" i="0" kern="1200" baseline="0">
                <a:solidFill>
                  <a:schemeClr val="dk1"/>
                </a:solidFill>
                <a:effectLst/>
                <a:latin typeface="+mn-lt"/>
                <a:ea typeface="+mn-ea"/>
                <a:cs typeface="+mn-cs"/>
              </a:rPr>
              <a:t> ou </a:t>
            </a:r>
            <a:r>
              <a:rPr lang="pt-br" sz="1100" b="1" i="0" kern="1200" baseline="0">
                <a:solidFill>
                  <a:schemeClr val="dk1"/>
                </a:solidFill>
                <a:effectLst/>
                <a:latin typeface="+mn-lt"/>
                <a:ea typeface="+mn-ea"/>
                <a:cs typeface="+mn-cs"/>
              </a:rPr>
              <a:t>Não</a:t>
            </a:r>
            <a:r>
              <a:rPr lang="pt-br" sz="1100" b="0" i="0" kern="1200" baseline="0">
                <a:solidFill>
                  <a:schemeClr val="dk1"/>
                </a:solidFill>
                <a:effectLst/>
                <a:latin typeface="+mn-lt"/>
                <a:ea typeface="+mn-ea"/>
                <a:cs typeface="+mn-cs"/>
              </a:rPr>
              <a:t>, precisa estar entre aspas, assim: </a:t>
            </a:r>
          </a:p>
          <a:p>
            <a:pPr rtl="0" eaLnBrk="1" fontAlgn="auto" latinLnBrk="0" hangingPunct="1"/>
            <a:r>
              <a:rPr lang="pt-br"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123824</xdr:rowOff>
    </xdr:from>
    <xdr:to>
      <xdr:col>4</xdr:col>
      <xdr:colOff>600075</xdr:colOff>
      <xdr:row>48</xdr:row>
      <xdr:rowOff>152400</xdr:rowOff>
    </xdr:to>
    <xdr:grpSp>
      <xdr:nvGrpSpPr>
        <xdr:cNvPr id="94" name="DICA ESPECIALIZADA" descr="DICA ESPECIALIZADA">
          <a:extLst>
            <a:ext uri="{FF2B5EF4-FFF2-40B4-BE49-F238E27FC236}">
              <a16:creationId xmlns:a16="http://schemas.microsoft.com/office/drawing/2014/main" id="{4F3513E1-6B29-4E54-80FC-E2B36E732D7E}"/>
            </a:ext>
          </a:extLst>
        </xdr:cNvPr>
        <xdr:cNvGrpSpPr/>
      </xdr:nvGrpSpPr>
      <xdr:grpSpPr>
        <a:xfrm>
          <a:off x="6324600" y="8610599"/>
          <a:ext cx="3533775" cy="1362076"/>
          <a:chOff x="8448675" y="2143125"/>
          <a:chExt cx="2812587" cy="1353765"/>
        </a:xfrm>
      </xdr:grpSpPr>
      <xdr:pic>
        <xdr:nvPicPr>
          <xdr:cNvPr id="95" name="Elemento 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Etapa"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Intervalos nomeados na Web."/>
            <a:extLst>
              <a:ext uri="{FF2B5EF4-FFF2-40B4-BE49-F238E27FC236}">
                <a16:creationId xmlns:a16="http://schemas.microsoft.com/office/drawing/2014/main" id="{CDFC5BF1-DCF8-4B3F-9426-0E409672138F}"/>
              </a:ext>
            </a:extLst>
          </xdr:cNvPr>
          <xdr:cNvSpPr txBox="1"/>
        </xdr:nvSpPr>
        <xdr:spPr>
          <a:xfrm>
            <a:off x="8782052" y="2143125"/>
            <a:ext cx="2479210" cy="135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b="1" i="1" u="sng" kern="0">
                <a:solidFill>
                  <a:schemeClr val="accent1"/>
                </a:solidFill>
                <a:ea typeface="Segoe UI" pitchFamily="34" charset="0"/>
                <a:cs typeface="Segoe UI Light" panose="020B0502040204020203" pitchFamily="34" charset="0"/>
              </a:rPr>
              <a:t>Intervalos nomeados</a:t>
            </a:r>
            <a:r>
              <a:rPr lang="pt-br" sz="1100" kern="0">
                <a:solidFill>
                  <a:schemeClr val="bg2">
                    <a:lumMod val="25000"/>
                  </a:schemeClr>
                </a:solidFill>
                <a:ea typeface="Segoe UI" pitchFamily="34" charset="0"/>
                <a:cs typeface="Segoe UI Light" panose="020B0502040204020203" pitchFamily="34" charset="0"/>
              </a:rPr>
              <a:t> possibilitam definir os termos ou valores em um único local e reutilizá-los em toda a </a:t>
            </a:r>
            <a:r>
              <a:rPr lang="pt-br" sz="1100" kern="0" baseline="0">
                <a:solidFill>
                  <a:schemeClr val="bg2">
                    <a:lumMod val="25000"/>
                  </a:schemeClr>
                </a:solidFill>
                <a:ea typeface="Segoe UI" pitchFamily="34" charset="0"/>
                <a:cs typeface="Segoe UI Light" panose="020B0502040204020203" pitchFamily="34" charset="0"/>
              </a:rPr>
              <a:t> pasta de trabalho. Você pode ver todos os intervalos nomeados nesta pasta de trabalho acessando </a:t>
            </a:r>
            <a:r>
              <a:rPr lang="pt-br" sz="1100" b="1" kern="0" baseline="0">
                <a:solidFill>
                  <a:schemeClr val="bg2">
                    <a:lumMod val="25000"/>
                  </a:schemeClr>
                </a:solidFill>
                <a:ea typeface="Segoe UI" pitchFamily="34" charset="0"/>
                <a:cs typeface="Segoe UI Light" panose="020B0502040204020203" pitchFamily="34" charset="0"/>
              </a:rPr>
              <a:t>Fórmulas</a:t>
            </a:r>
            <a:r>
              <a:rPr lang="pt-br" sz="1100" kern="0" baseline="0">
                <a:solidFill>
                  <a:schemeClr val="bg2">
                    <a:lumMod val="25000"/>
                  </a:schemeClr>
                </a:solidFill>
                <a:ea typeface="Segoe UI" pitchFamily="34" charset="0"/>
                <a:cs typeface="Segoe UI Light" panose="020B0502040204020203" pitchFamily="34" charset="0"/>
              </a:rPr>
              <a:t> &gt; </a:t>
            </a:r>
            <a:r>
              <a:rPr lang="pt-br" sz="1100" b="1" kern="0" baseline="0">
                <a:solidFill>
                  <a:schemeClr val="bg2">
                    <a:lumMod val="25000"/>
                  </a:schemeClr>
                </a:solidFill>
                <a:ea typeface="Segoe UI" pitchFamily="34" charset="0"/>
                <a:cs typeface="Segoe UI Light" panose="020B0502040204020203" pitchFamily="34" charset="0"/>
              </a:rPr>
              <a:t>Gerenciador de Nomes.</a:t>
            </a:r>
            <a:r>
              <a:rPr lang="pt-br"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É BOM SABER" descr="É BOM SABER&#10;&#10;">
          <a:extLst>
            <a:ext uri="{FF2B5EF4-FFF2-40B4-BE49-F238E27FC236}">
              <a16:creationId xmlns:a16="http://schemas.microsoft.com/office/drawing/2014/main" id="{B45D0037-257A-421E-9928-F95C71F032DA}"/>
            </a:ext>
          </a:extLst>
        </xdr:cNvPr>
        <xdr:cNvGrpSpPr/>
      </xdr:nvGrpSpPr>
      <xdr:grpSpPr>
        <a:xfrm>
          <a:off x="10534651" y="6633874"/>
          <a:ext cx="3476623" cy="1740055"/>
          <a:chOff x="6778625" y="15619705"/>
          <a:chExt cx="3174461" cy="1671345"/>
        </a:xfrm>
      </xdr:grpSpPr>
      <xdr:sp macro="" textlink="">
        <xdr:nvSpPr>
          <xdr:cNvPr id="98" name="Etapa"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Ao criar uma fórmula, o Excel coloca automaticamente bordas coloridas ao redor de quaisquer intervalos presentes na fórmula, e os intervalos correspondentes na fórmula ficarão na mesma cor. Você pode ver isso se selecionar a célula F33 e pressionar </a:t>
            </a:r>
            <a:r>
              <a:rPr lang="pt-br" sz="1100" b="1" i="0" kern="1200" baseline="0">
                <a:solidFill>
                  <a:schemeClr val="dk1"/>
                </a:solidFill>
                <a:effectLst/>
                <a:latin typeface="+mn-lt"/>
                <a:ea typeface="+mn-ea"/>
                <a:cs typeface="+mn-cs"/>
              </a:rPr>
              <a:t>F2</a:t>
            </a:r>
            <a:r>
              <a:rPr lang="pt-br"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Elemento 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VisãoProfunda" descr="Veja mais detalhes abaixo">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0</xdr:col>
      <xdr:colOff>333375</xdr:colOff>
      <xdr:row>23</xdr:row>
      <xdr:rowOff>47624</xdr:rowOff>
    </xdr:from>
    <xdr:to>
      <xdr:col>1</xdr:col>
      <xdr:colOff>5219700</xdr:colOff>
      <xdr:row>56</xdr:row>
      <xdr:rowOff>9525</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33375" y="5000624"/>
          <a:ext cx="5734050" cy="6353176"/>
          <a:chOff x="333375" y="5000624"/>
          <a:chExt cx="5734050" cy="6360173"/>
        </a:xfrm>
      </xdr:grpSpPr>
      <xdr:sp macro="" textlink="">
        <xdr:nvSpPr>
          <xdr:cNvPr id="101" name="txt_PlanoDeFundoDoTour" descr="Plano de fundo">
            <a:extLst>
              <a:ext uri="{FF2B5EF4-FFF2-40B4-BE49-F238E27FC236}">
                <a16:creationId xmlns:a16="http://schemas.microsoft.com/office/drawing/2014/main" id="{D30CE2FF-D296-4C22-A916-909B28036CE0}"/>
              </a:ext>
            </a:extLst>
          </xdr:cNvPr>
          <xdr:cNvSpPr/>
        </xdr:nvSpPr>
        <xdr:spPr>
          <a:xfrm>
            <a:off x="333375" y="5000624"/>
            <a:ext cx="5734050" cy="636017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oTour" descr="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Instrução SE com outra função</a:t>
            </a:r>
          </a:p>
        </xdr:txBody>
      </xdr:sp>
      <xdr:cxnSp macro="">
        <xdr:nvCxnSpPr>
          <xdr:cNvPr id="103" name="txt_LinhaDoTour1"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DoTour2" descr="Linha decorativa">
            <a:extLst>
              <a:ext uri="{FF2B5EF4-FFF2-40B4-BE49-F238E27FC236}">
                <a16:creationId xmlns:a16="http://schemas.microsoft.com/office/drawing/2014/main" id="{8891E0FB-F07B-444F-B967-54078E830D13}"/>
              </a:ext>
            </a:extLst>
          </xdr:cNvPr>
          <xdr:cNvCxnSpPr>
            <a:cxnSpLocks/>
          </xdr:cNvCxnSpPr>
        </xdr:nvCxnSpPr>
        <xdr:spPr>
          <a:xfrm>
            <a:off x="546103" y="105597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oTour" descr="Instruções SE também podem forçar a realização de cálculos adicionais se uma determinada condição for atendida. Aqui, vamos avaliar uma célula para ver se o Imposto sobre vendas deve ser cobrado, além de calcular se a condição é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também podem forçar a realização de cálculos adicionais se uma determinada condição for atendida. Aqui, vamos avaliar uma célula para ver se o Imposto sobre vendas deve ser cobrado, além de calcular se a condição é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Etapa">
            <a:extLst>
              <a:ext uri="{FF2B5EF4-FFF2-40B4-BE49-F238E27FC236}">
                <a16:creationId xmlns:a16="http://schemas.microsoft.com/office/drawing/2014/main" id="{5CDE601E-EF9E-420E-80FC-F58C2BA9720A}"/>
              </a:ext>
            </a:extLst>
          </xdr:cNvPr>
          <xdr:cNvGrpSpPr/>
        </xdr:nvGrpSpPr>
        <xdr:grpSpPr>
          <a:xfrm>
            <a:off x="561975" y="6486525"/>
            <a:ext cx="5295900" cy="1076324"/>
            <a:chOff x="581211" y="7810500"/>
            <a:chExt cx="5261541" cy="1076324"/>
          </a:xfrm>
        </xdr:grpSpPr>
        <xdr:sp macro="" textlink="">
          <xdr:nvSpPr>
            <xdr:cNvPr id="107" name="txt_Etapa"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digitamos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onde definimos o Imposto sobre vendas como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um valor de 0,0825. Nossa fórmula diz que se a célula E33 é igual a Sim, então multiplique a célula F31 por Imposto sobre vendas,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alterar Sim para Não na célula E33 para ver o cálculo mudar.</a:t>
              </a:r>
            </a:p>
          </xdr:txBody>
        </xdr:sp>
        <xdr:sp macro="" textlink="">
          <xdr:nvSpPr>
            <xdr:cNvPr id="108" name="shp_Etapa"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09" name="grp_Etapa">
            <a:extLst>
              <a:ext uri="{FF2B5EF4-FFF2-40B4-BE49-F238E27FC236}">
                <a16:creationId xmlns:a16="http://schemas.microsoft.com/office/drawing/2014/main" id="{BFF24217-919E-4D15-B472-AB89F019AF8E}"/>
              </a:ext>
            </a:extLst>
          </xdr:cNvPr>
          <xdr:cNvGrpSpPr/>
        </xdr:nvGrpSpPr>
        <xdr:grpSpPr>
          <a:xfrm>
            <a:off x="561975" y="7886946"/>
            <a:ext cx="5229626" cy="876313"/>
            <a:chOff x="581211" y="8039346"/>
            <a:chExt cx="5195697" cy="876313"/>
          </a:xfrm>
        </xdr:grpSpPr>
        <xdr:sp macro="" textlink="">
          <xdr:nvSpPr>
            <xdr:cNvPr id="110" name="txt_Etapa" descr="Em seguida, adicionamos uma instrução SE para calcular o envio, se ele for obrigatório. Na célula F35 você verá =SE(E35=&quot;Sim&quot;;SOMA(D28:D29)*1,25;0). A fórmula significa que: se a célula E35 é Sim, faça a soma da coluna Quantidade na tabela acima e multiplique o resultado por 1,25; caso contrário, retorne 0.&#10;">
              <a:extLst>
                <a:ext uri="{FF2B5EF4-FFF2-40B4-BE49-F238E27FC236}">
                  <a16:creationId xmlns:a16="http://schemas.microsoft.com/office/drawing/2014/main" id="{AEA982A9-56DB-413C-8C06-090FF22D1BCD}"/>
                </a:ext>
              </a:extLst>
            </xdr:cNvPr>
            <xdr:cNvSpPr txBox="1"/>
          </xdr:nvSpPr>
          <xdr:spPr>
            <a:xfrm>
              <a:off x="998369" y="8081317"/>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adicionamos uma instrução SE para calcular o envio, se ele for obrigatório. Na célula F35 você verá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fórmula significa que: se a célula E35 é Sim, faça a soma da coluna Quantidade na tabela acima e multiplique o resultado por 1,25;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Etapa" descr="2">
              <a:extLst>
                <a:ext uri="{FF2B5EF4-FFF2-40B4-BE49-F238E27FC236}">
                  <a16:creationId xmlns:a16="http://schemas.microsoft.com/office/drawing/2014/main" id="{BCCAD99D-66BF-4E4A-8BE8-EB9E7692B65E}"/>
                </a:ext>
              </a:extLst>
            </xdr:cNvPr>
            <xdr:cNvSpPr/>
          </xdr:nvSpPr>
          <xdr:spPr>
            <a:xfrm>
              <a:off x="581211" y="80393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2" name="grp_Etapa">
            <a:extLst>
              <a:ext uri="{FF2B5EF4-FFF2-40B4-BE49-F238E27FC236}">
                <a16:creationId xmlns:a16="http://schemas.microsoft.com/office/drawing/2014/main" id="{BF6B2B89-C936-492B-9E7C-BBD3854AF4D9}"/>
              </a:ext>
            </a:extLst>
          </xdr:cNvPr>
          <xdr:cNvGrpSpPr/>
        </xdr:nvGrpSpPr>
        <xdr:grpSpPr>
          <a:xfrm>
            <a:off x="561975" y="8934844"/>
            <a:ext cx="5229626" cy="1266846"/>
            <a:chOff x="581211" y="8172844"/>
            <a:chExt cx="5195697" cy="1266846"/>
          </a:xfrm>
        </xdr:grpSpPr>
        <xdr:sp macro="" textlink="">
          <xdr:nvSpPr>
            <xdr:cNvPr id="113" name="txt_Etapa" descr="Em seguida, altere 1,25 na fórmula da célula F35 para &quot;Remessa&quot;.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10;&#10;">
              <a:extLst>
                <a:ext uri="{FF2B5EF4-FFF2-40B4-BE49-F238E27FC236}">
                  <a16:creationId xmlns:a16="http://schemas.microsoft.com/office/drawing/2014/main" id="{A722657B-F5BE-4EA5-BAAE-C570DA0E3B71}"/>
                </a:ext>
              </a:extLst>
            </xdr:cNvPr>
            <xdr:cNvSpPr txBox="1"/>
          </xdr:nvSpPr>
          <xdr:spPr>
            <a:xfrm>
              <a:off x="998369" y="8214823"/>
              <a:ext cx="4778539" cy="122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1,25 na fórmula da célula F35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Remessa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Enquanto você digita, a correção automática do Excel deve encontrar a palavra para você. Quando isso acontecer,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inseri-la. Esse é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podemos inseri-lo a partir de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você precisar alterar o custo de envio das mercadorias, você só precisa fazer isso em um lugar e pode usar o nome Remessa em qualquer lugar na pasta de trabalho.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Etapa" descr="3">
              <a:extLst>
                <a:ext uri="{FF2B5EF4-FFF2-40B4-BE49-F238E27FC236}">
                  <a16:creationId xmlns:a16="http://schemas.microsoft.com/office/drawing/2014/main" id="{9DDD420D-C72F-4430-9995-3824DE1CAC4D}"/>
                </a:ext>
              </a:extLst>
            </xdr:cNvPr>
            <xdr:cNvSpPr/>
          </xdr:nvSpPr>
          <xdr:spPr>
            <a:xfrm>
              <a:off x="581211" y="81728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53</xdr:row>
      <xdr:rowOff>104775</xdr:rowOff>
    </xdr:from>
    <xdr:to>
      <xdr:col>1</xdr:col>
      <xdr:colOff>980459</xdr:colOff>
      <xdr:row>55</xdr:row>
      <xdr:rowOff>59224</xdr:rowOff>
    </xdr:to>
    <xdr:sp macro="" textlink="">
      <xdr:nvSpPr>
        <xdr:cNvPr id="115"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F139BCB5-BA52-4BA9-B27E-80EDF1CA9815}"/>
            </a:ext>
          </a:extLst>
        </xdr:cNvPr>
        <xdr:cNvSpPr/>
      </xdr:nvSpPr>
      <xdr:spPr>
        <a:xfrm flipH="1">
          <a:off x="552450"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3684072</xdr:colOff>
      <xdr:row>53</xdr:row>
      <xdr:rowOff>104775</xdr:rowOff>
    </xdr:from>
    <xdr:to>
      <xdr:col>1</xdr:col>
      <xdr:colOff>4959806</xdr:colOff>
      <xdr:row>55</xdr:row>
      <xdr:rowOff>59224</xdr:rowOff>
    </xdr:to>
    <xdr:sp macro="" textlink="">
      <xdr:nvSpPr>
        <xdr:cNvPr id="116"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BBF61831-9570-4211-818C-38318F38D015}"/>
            </a:ext>
          </a:extLst>
        </xdr:cNvPr>
        <xdr:cNvSpPr/>
      </xdr:nvSpPr>
      <xdr:spPr>
        <a:xfrm>
          <a:off x="4531797"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352425</xdr:colOff>
      <xdr:row>56</xdr:row>
      <xdr:rowOff>152400</xdr:rowOff>
    </xdr:from>
    <xdr:to>
      <xdr:col>1</xdr:col>
      <xdr:colOff>5237988</xdr:colOff>
      <xdr:row>70</xdr:row>
      <xdr:rowOff>19050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2425" y="11496675"/>
          <a:ext cx="5733288" cy="253365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Etapa"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ctor reto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ctor reto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ctor reto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60</xdr:row>
      <xdr:rowOff>83269</xdr:rowOff>
    </xdr:from>
    <xdr:to>
      <xdr:col>1</xdr:col>
      <xdr:colOff>2581275</xdr:colOff>
      <xdr:row>62</xdr:row>
      <xdr:rowOff>61348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62406" y="12189544"/>
          <a:ext cx="2866594" cy="359079"/>
          <a:chOff x="562406" y="11418019"/>
          <a:chExt cx="2866594" cy="359079"/>
        </a:xfrm>
      </xdr:grpSpPr>
      <xdr:sp macro="" textlink="">
        <xdr:nvSpPr>
          <xdr:cNvPr id="122" name="Etapa" descr="Tudo sobre a função SE, com um hiperlink para a Web&#10;&#10;">
            <a:hlinkClick xmlns:r="http://schemas.openxmlformats.org/officeDocument/2006/relationships" r:id="rId11" tooltip="Selecione para aprender tudo sobre a função SE na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62</xdr:row>
      <xdr:rowOff>77335</xdr:rowOff>
    </xdr:from>
    <xdr:to>
      <xdr:col>1</xdr:col>
      <xdr:colOff>2609850</xdr:colOff>
      <xdr:row>64</xdr:row>
      <xdr:rowOff>60724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62406" y="12564610"/>
          <a:ext cx="2895169" cy="364389"/>
          <a:chOff x="562406" y="11793085"/>
          <a:chExt cx="2895169" cy="364389"/>
        </a:xfrm>
      </xdr:grpSpPr>
      <xdr:sp macro="" textlink="">
        <xdr:nvSpPr>
          <xdr:cNvPr id="124" name="Etapa" descr="Tudo sobre a função SES, com um hiperlink para a Web&#10;">
            <a:hlinkClick xmlns:r="http://schemas.openxmlformats.org/officeDocument/2006/relationships" r:id="rId14" tooltip="Selecione para aprender tudo sobre a função SES na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66</xdr:row>
      <xdr:rowOff>108253</xdr:rowOff>
    </xdr:from>
    <xdr:to>
      <xdr:col>1</xdr:col>
      <xdr:colOff>2905125</xdr:colOff>
      <xdr:row>68</xdr:row>
      <xdr:rowOff>91642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62406" y="13357528"/>
          <a:ext cx="3190444" cy="364389"/>
          <a:chOff x="562406" y="12586003"/>
          <a:chExt cx="3190444" cy="364389"/>
        </a:xfrm>
      </xdr:grpSpPr>
      <xdr:sp macro="" textlink="">
        <xdr:nvSpPr>
          <xdr:cNvPr id="126" name="Etapa" descr="Treinamento gratuito do Excel online, com um hiperlink para a Web&#10;">
            <a:hlinkClick xmlns:r="http://schemas.openxmlformats.org/officeDocument/2006/relationships" r:id="rId15" tooltip="Selecione para fazer o treinamento gratuito do Excel online na Web"/>
            <a:extLst>
              <a:ext uri="{FF2B5EF4-FFF2-40B4-BE49-F238E27FC236}">
                <a16:creationId xmlns:a16="http://schemas.microsoft.com/office/drawing/2014/main" id="{7825C514-8FA2-4A6D-AF39-649B9CAF9255}"/>
              </a:ext>
            </a:extLst>
          </xdr:cNvPr>
          <xdr:cNvSpPr txBox="1"/>
        </xdr:nvSpPr>
        <xdr:spPr>
          <a:xfrm>
            <a:off x="1040199" y="12637107"/>
            <a:ext cx="27126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27"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64</xdr:row>
      <xdr:rowOff>76711</xdr:rowOff>
    </xdr:from>
    <xdr:to>
      <xdr:col>1</xdr:col>
      <xdr:colOff>2609850</xdr:colOff>
      <xdr:row>66</xdr:row>
      <xdr:rowOff>60100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62406" y="12944986"/>
          <a:ext cx="2895169" cy="364389"/>
          <a:chOff x="562406" y="12173461"/>
          <a:chExt cx="2895169" cy="364389"/>
        </a:xfrm>
      </xdr:grpSpPr>
      <xdr:sp macro="" textlink="">
        <xdr:nvSpPr>
          <xdr:cNvPr id="128" name="Etapa" descr="Instruções SE avançadas, com um hiperlink para Web&#10;">
            <a:hlinkClick xmlns:r="http://schemas.openxmlformats.org/officeDocument/2006/relationships" r:id="rId16" tooltip="Selecione para aprender tudo sobre instruções SE avançadas na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49</xdr:row>
      <xdr:rowOff>57150</xdr:rowOff>
    </xdr:from>
    <xdr:to>
      <xdr:col>4</xdr:col>
      <xdr:colOff>409215</xdr:colOff>
      <xdr:row>60</xdr:row>
      <xdr:rowOff>171174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10067925"/>
          <a:ext cx="2876190" cy="22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333375</xdr:colOff>
      <xdr:row>0</xdr:row>
      <xdr:rowOff>361949</xdr:rowOff>
    </xdr:from>
    <xdr:to>
      <xdr:col>1</xdr:col>
      <xdr:colOff>5219700</xdr:colOff>
      <xdr:row>32</xdr:row>
      <xdr:rowOff>104774</xdr:rowOff>
    </xdr:to>
    <xdr:sp macro="" textlink="">
      <xdr:nvSpPr>
        <xdr:cNvPr id="81" name="txt_PlanoDeFundoDoTour" descr="Plano de fundo">
          <a:extLst>
            <a:ext uri="{FF2B5EF4-FFF2-40B4-BE49-F238E27FC236}">
              <a16:creationId xmlns:a16="http://schemas.microsoft.com/office/drawing/2014/main" id="{CCCCB7BF-CE8C-47D9-ADC2-CAB1C8F28444}"/>
            </a:ext>
          </a:extLst>
        </xdr:cNvPr>
        <xdr:cNvSpPr/>
      </xdr:nvSpPr>
      <xdr:spPr>
        <a:xfrm>
          <a:off x="333375" y="361949"/>
          <a:ext cx="5734050" cy="6410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oTour"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DoTour1"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28</xdr:row>
      <xdr:rowOff>35429</xdr:rowOff>
    </xdr:from>
    <xdr:to>
      <xdr:col>1</xdr:col>
      <xdr:colOff>4976799</xdr:colOff>
      <xdr:row>28</xdr:row>
      <xdr:rowOff>35429</xdr:rowOff>
    </xdr:to>
    <xdr:cxnSp macro="">
      <xdr:nvCxnSpPr>
        <xdr:cNvPr id="84" name="txt_LinhaDoTour2" descr="Linha decorativa">
          <a:extLst>
            <a:ext uri="{FF2B5EF4-FFF2-40B4-BE49-F238E27FC236}">
              <a16:creationId xmlns:a16="http://schemas.microsoft.com/office/drawing/2014/main" id="{9A557736-21EE-450F-A993-CC32130FE9FB}"/>
            </a:ext>
          </a:extLst>
        </xdr:cNvPr>
        <xdr:cNvCxnSpPr>
          <a:cxnSpLocks/>
        </xdr:cNvCxnSpPr>
      </xdr:nvCxnSpPr>
      <xdr:spPr>
        <a:xfrm>
          <a:off x="576276" y="59409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7</xdr:row>
      <xdr:rowOff>57150</xdr:rowOff>
    </xdr:to>
    <xdr:sp macro="" textlink="">
      <xdr:nvSpPr>
        <xdr:cNvPr id="85" name="txt_IntroduçãoDoTour" descr="PROCV é uma das funções mais utilizadas no Excel (e uma de nossas favoritas também!). PROCV possibilita pesquisar um valor em uma coluna à esquerda e, em seguida, retorna informações em outra coluna à direita se encontrar uma correspondência. PROCV diz:&#10;&#10;">
          <a:extLst>
            <a:ext uri="{FF2B5EF4-FFF2-40B4-BE49-F238E27FC236}">
              <a16:creationId xmlns:a16="http://schemas.microsoft.com/office/drawing/2014/main" id="{F9326461-020C-4B3F-9364-21D592985D33}"/>
            </a:ext>
          </a:extLst>
        </xdr:cNvPr>
        <xdr:cNvSpPr txBox="1"/>
      </xdr:nvSpPr>
      <xdr:spPr>
        <a:xfrm>
          <a:off x="571663" y="1062116"/>
          <a:ext cx="5251444" cy="90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PROCV é uma das funções mais utilizadas no Excel (e uma de nossas favoritas também!). PROCV possibilita pesquisar um valor em uma coluna à esquerda e, em seguida, retorna informações em outra coluna à direita se encontrar uma correspondência.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21</xdr:row>
      <xdr:rowOff>23788</xdr:rowOff>
    </xdr:from>
    <xdr:to>
      <xdr:col>1</xdr:col>
      <xdr:colOff>4991587</xdr:colOff>
      <xdr:row>24</xdr:row>
      <xdr:rowOff>161925</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600144" y="4595788"/>
          <a:ext cx="5239168" cy="709637"/>
          <a:chOff x="561975" y="4357663"/>
          <a:chExt cx="5229626" cy="709637"/>
        </a:xfrm>
      </xdr:grpSpPr>
      <xdr:sp macro="" textlink="">
        <xdr:nvSpPr>
          <xdr:cNvPr id="87" name="txt_Etapa" descr="Na célula D22, digite =PROCV(C22;C17:D20;2;FALSO). A resposta correta para Maçãs é 50. A função PROCV procurou por Maçãs, encontrou e foi para a coluna à direita e retornou o valor.&#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digite</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=PROCV(C22;C17:D20;2;FALSO).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PROCV procurou por Maçãs, encontrou e foi para a coluna à direita e retornou o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Etapa"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166663</xdr:rowOff>
    </xdr:from>
    <xdr:to>
      <xdr:col>1</xdr:col>
      <xdr:colOff>4943876</xdr:colOff>
      <xdr:row>28</xdr:row>
      <xdr:rowOff>870</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1975" y="5310163"/>
          <a:ext cx="5229626" cy="596207"/>
          <a:chOff x="523875" y="5072038"/>
          <a:chExt cx="5220101" cy="596207"/>
        </a:xfrm>
      </xdr:grpSpPr>
      <xdr:sp macro="" textlink="">
        <xdr:nvSpPr>
          <xdr:cNvPr id="90" name="txt_Etapa" descr="Agora, experimente na seção Carne, na célula G22. Você deve ficar com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agora na seção Carne, na célula G22. Você deve ficar com a fórmula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Etapa"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29</xdr:row>
      <xdr:rowOff>33313</xdr:rowOff>
    </xdr:from>
    <xdr:to>
      <xdr:col>1</xdr:col>
      <xdr:colOff>4959806</xdr:colOff>
      <xdr:row>30</xdr:row>
      <xdr:rowOff>178262</xdr:rowOff>
    </xdr:to>
    <xdr:sp macro="" textlink="">
      <xdr:nvSpPr>
        <xdr:cNvPr id="92"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36902CA8-91B2-4B89-B6B0-496D7B8D6012}"/>
            </a:ext>
          </a:extLst>
        </xdr:cNvPr>
        <xdr:cNvSpPr/>
      </xdr:nvSpPr>
      <xdr:spPr>
        <a:xfrm>
          <a:off x="4532361" y="6129313"/>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xdr:from>
      <xdr:col>0</xdr:col>
      <xdr:colOff>333375</xdr:colOff>
      <xdr:row>64</xdr:row>
      <xdr:rowOff>28546</xdr:rowOff>
    </xdr:from>
    <xdr:to>
      <xdr:col>1</xdr:col>
      <xdr:colOff>5218938</xdr:colOff>
      <xdr:row>80</xdr:row>
      <xdr:rowOff>76199</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3375" y="12792046"/>
          <a:ext cx="5733288" cy="3095653"/>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Etapa"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ctor reto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ctor reto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68</xdr:row>
      <xdr:rowOff>26091</xdr:rowOff>
    </xdr:from>
    <xdr:to>
      <xdr:col>1</xdr:col>
      <xdr:colOff>2581275</xdr:colOff>
      <xdr:row>70</xdr:row>
      <xdr:rowOff>4170</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2406" y="13551591"/>
          <a:ext cx="2866594" cy="359079"/>
          <a:chOff x="562406" y="12494316"/>
          <a:chExt cx="2866594" cy="359079"/>
        </a:xfrm>
      </xdr:grpSpPr>
      <xdr:sp macro="" textlink="">
        <xdr:nvSpPr>
          <xdr:cNvPr id="98" name="Etapa" descr="Tudo sobre a função PROCV, com um hiperlink para a Web&#10;&#10;">
            <a:hlinkClick xmlns:r="http://schemas.openxmlformats.org/officeDocument/2006/relationships" r:id="rId2" tooltip="Selecione para aprender tudo sobre a função PROCV na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Elemento gráfico 22" descr="Seta">
            <a:hlinkClick xmlns:r="http://schemas.openxmlformats.org/officeDocument/2006/relationships" r:id="rId2" tooltip="Selecione para saber mai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70</xdr:row>
      <xdr:rowOff>31712</xdr:rowOff>
    </xdr:from>
    <xdr:to>
      <xdr:col>1</xdr:col>
      <xdr:colOff>2990850</xdr:colOff>
      <xdr:row>72</xdr:row>
      <xdr:rowOff>15101</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2406" y="13938212"/>
          <a:ext cx="3276169" cy="364389"/>
          <a:chOff x="562406" y="12880937"/>
          <a:chExt cx="3276169" cy="364389"/>
        </a:xfrm>
      </xdr:grpSpPr>
      <xdr:sp macro="" textlink="">
        <xdr:nvSpPr>
          <xdr:cNvPr id="100" name="Etapa" descr="Tudo sobre as funções ÍNDICE/CORRESP, um hiperlink para Web&#10;">
            <a:hlinkClick xmlns:r="http://schemas.openxmlformats.org/officeDocument/2006/relationships" r:id="rId5" tooltip="Selecione para aprender tudo sobre as funções ÍNDICE/CORRESP na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funções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ÍNDICE/CORRESP</a:t>
            </a:r>
          </a:p>
        </xdr:txBody>
      </xdr:sp>
      <xdr:pic>
        <xdr:nvPicPr>
          <xdr:cNvPr id="10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79650</xdr:rowOff>
    </xdr:from>
    <xdr:to>
      <xdr:col>1</xdr:col>
      <xdr:colOff>3571875</xdr:colOff>
      <xdr:row>78</xdr:row>
      <xdr:rowOff>63039</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2406" y="15129150"/>
          <a:ext cx="3857194" cy="364389"/>
          <a:chOff x="562406" y="14071875"/>
          <a:chExt cx="3857194" cy="364389"/>
        </a:xfrm>
      </xdr:grpSpPr>
      <xdr:sp macro="" textlink="">
        <xdr:nvSpPr>
          <xdr:cNvPr id="102" name="Etapa" descr="Treinamento gratuito do Excel online, com um hiperlink para a Web&#10;">
            <a:hlinkClick xmlns:r="http://schemas.openxmlformats.org/officeDocument/2006/relationships" r:id="rId6" tooltip="Selecione para aprender sobre o treinamento de Excel online e gratuito na Web"/>
            <a:extLst>
              <a:ext uri="{FF2B5EF4-FFF2-40B4-BE49-F238E27FC236}">
                <a16:creationId xmlns:a16="http://schemas.microsoft.com/office/drawing/2014/main" id="{4781BFBE-B5EC-40E0-B408-A2571FFF08DE}"/>
              </a:ext>
            </a:extLst>
          </xdr:cNvPr>
          <xdr:cNvSpPr txBox="1"/>
        </xdr:nvSpPr>
        <xdr:spPr>
          <a:xfrm>
            <a:off x="1040199" y="14151554"/>
            <a:ext cx="33794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03"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72</xdr:row>
      <xdr:rowOff>42643</xdr:rowOff>
    </xdr:from>
    <xdr:to>
      <xdr:col>1</xdr:col>
      <xdr:colOff>2609850</xdr:colOff>
      <xdr:row>74</xdr:row>
      <xdr:rowOff>26032</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2406" y="14330143"/>
          <a:ext cx="2895169" cy="364389"/>
          <a:chOff x="562406" y="13272868"/>
          <a:chExt cx="2895169" cy="364389"/>
        </a:xfrm>
      </xdr:grpSpPr>
      <xdr:sp macro="" textlink="">
        <xdr:nvSpPr>
          <xdr:cNvPr id="104" name="Etapa" descr="Tudo sobre a função SEERRO, com um hiperlink para a Web&#10;">
            <a:hlinkClick xmlns:r="http://schemas.openxmlformats.org/officeDocument/2006/relationships" r:id="rId7" tooltip="Selecione para aprender tudo sobre a função SEERRO na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SEERRO</a:t>
            </a:r>
          </a:p>
        </xdr:txBody>
      </xdr:sp>
      <xdr:pic>
        <xdr:nvPicPr>
          <xdr:cNvPr id="105"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74</xdr:row>
      <xdr:rowOff>53574</xdr:rowOff>
    </xdr:from>
    <xdr:to>
      <xdr:col>1</xdr:col>
      <xdr:colOff>4238625</xdr:colOff>
      <xdr:row>76</xdr:row>
      <xdr:rowOff>36963</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2406" y="14722074"/>
          <a:ext cx="4523944" cy="364389"/>
          <a:chOff x="562406" y="13664799"/>
          <a:chExt cx="4523944" cy="364389"/>
        </a:xfrm>
      </xdr:grpSpPr>
      <xdr:sp macro="" textlink="">
        <xdr:nvSpPr>
          <xdr:cNvPr id="106" name="Etapa" descr="Usar as Tabelas Dinâmicas para analisar dados de planilha&#10;">
            <a:hlinkClick xmlns:r="http://schemas.openxmlformats.org/officeDocument/2006/relationships" r:id="rId8" tooltip="Selecione para aprender tudo sobre como criar uma Tabela Dinâmica para analisar dados de planilha na Web"/>
            <a:extLst>
              <a:ext uri="{FF2B5EF4-FFF2-40B4-BE49-F238E27FC236}">
                <a16:creationId xmlns:a16="http://schemas.microsoft.com/office/drawing/2014/main" id="{2E0B811D-CA68-487C-A6BB-4DE6198A877D}"/>
              </a:ext>
            </a:extLst>
          </xdr:cNvPr>
          <xdr:cNvSpPr txBox="1"/>
        </xdr:nvSpPr>
        <xdr:spPr>
          <a:xfrm>
            <a:off x="1027590" y="13727608"/>
            <a:ext cx="40587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planilha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29</xdr:row>
      <xdr:rowOff>33313</xdr:rowOff>
    </xdr:from>
    <xdr:to>
      <xdr:col>1</xdr:col>
      <xdr:colOff>2560307</xdr:colOff>
      <xdr:row>31</xdr:row>
      <xdr:rowOff>188000</xdr:rowOff>
    </xdr:to>
    <xdr:sp macro="" textlink="">
      <xdr:nvSpPr>
        <xdr:cNvPr id="116" name="btn_VisãoProfunda" descr="Veja mais detalhes abaixo">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6129313"/>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333375</xdr:colOff>
      <xdr:row>33</xdr:row>
      <xdr:rowOff>19022</xdr:rowOff>
    </xdr:from>
    <xdr:to>
      <xdr:col>1</xdr:col>
      <xdr:colOff>5219700</xdr:colOff>
      <xdr:row>63</xdr:row>
      <xdr:rowOff>104775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3375" y="6877022"/>
          <a:ext cx="5734050" cy="5800753"/>
          <a:chOff x="381000" y="6619847"/>
          <a:chExt cx="5734050" cy="5800753"/>
        </a:xfrm>
      </xdr:grpSpPr>
      <xdr:sp macro="" textlink="">
        <xdr:nvSpPr>
          <xdr:cNvPr id="118" name="txt_PlanoDeFundoDoTour" descr="Plano de fundo">
            <a:extLst>
              <a:ext uri="{FF2B5EF4-FFF2-40B4-BE49-F238E27FC236}">
                <a16:creationId xmlns:a16="http://schemas.microsoft.com/office/drawing/2014/main" id="{D3E3BF3F-62BA-42BD-AAAA-C2798A711BDD}"/>
              </a:ext>
            </a:extLst>
          </xdr:cNvPr>
          <xdr:cNvSpPr/>
        </xdr:nvSpPr>
        <xdr:spPr>
          <a:xfrm>
            <a:off x="381000" y="6619847"/>
            <a:ext cx="5734050" cy="5800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oTour" descr="PROCV e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 e #N/D</a:t>
            </a:r>
          </a:p>
        </xdr:txBody>
      </xdr:sp>
      <xdr:cxnSp macro="">
        <xdr:nvCxnSpPr>
          <xdr:cNvPr id="120" name="txt_LinhaDoTour1"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DoTour2" descr="Linha decorativa">
            <a:extLst>
              <a:ext uri="{FF2B5EF4-FFF2-40B4-BE49-F238E27FC236}">
                <a16:creationId xmlns:a16="http://schemas.microsoft.com/office/drawing/2014/main" id="{9714E556-7850-4148-BEC1-BE99A53AD145}"/>
              </a:ext>
            </a:extLst>
          </xdr:cNvPr>
          <xdr:cNvCxnSpPr>
            <a:cxnSpLocks/>
          </xdr:cNvCxnSpPr>
        </xdr:nvCxnSpPr>
        <xdr:spPr>
          <a:xfrm>
            <a:off x="623901" y="1180356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oTour" descr="Invariavelmente, você se deparará com uma situação em que PROCV não consegue encontrar o solicitado e retorna um erro (#N/D). Às vezes, é porque o valor de pesquisa simplesmente não existe ou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957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Invariavelmente, você se deparará com uma situação em que PROCV não consegue encontrar o solicitado e retorna um erro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Às vezes, é porque o valor de pesquisa simplesmente não existe ou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Etapa">
            <a:extLst>
              <a:ext uri="{FF2B5EF4-FFF2-40B4-BE49-F238E27FC236}">
                <a16:creationId xmlns:a16="http://schemas.microsoft.com/office/drawing/2014/main" id="{5965A0D4-2BC5-48D7-B26B-96EE64B5243D}"/>
              </a:ext>
            </a:extLst>
          </xdr:cNvPr>
          <xdr:cNvGrpSpPr/>
        </xdr:nvGrpSpPr>
        <xdr:grpSpPr>
          <a:xfrm>
            <a:off x="619125" y="8210522"/>
            <a:ext cx="5353050" cy="1828828"/>
            <a:chOff x="562285" y="7924800"/>
            <a:chExt cx="5318320" cy="1828828"/>
          </a:xfrm>
        </xdr:grpSpPr>
        <xdr:sp macro="" textlink="">
          <xdr:nvSpPr>
            <xdr:cNvPr id="127" name="txt_Etapa"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667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souber que o valor de pesquisa existe, mas deseja ocultar o erro se a célula de pesquisa estiver vazia, pode usar uma instrução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Nesse caso, vamos colocar nossa fórmula PROCV existente desta forma na célula D43:</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Isso informa que se a célula C43 for igual a nada (" "), retorne nada, caso contrário, retorne os resultados de PROCV. Observe o segundo parêntese de fechamento no final da fórmula. Isso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Etapa" descr="1">
              <a:extLst>
                <a:ext uri="{FF2B5EF4-FFF2-40B4-BE49-F238E27FC236}">
                  <a16:creationId xmlns:a16="http://schemas.microsoft.com/office/drawing/2014/main" id="{FF268881-27CD-4E87-AFEB-AFD303754FA4}"/>
                </a:ext>
              </a:extLst>
            </xdr:cNvPr>
            <xdr:cNvSpPr/>
          </xdr:nvSpPr>
          <xdr:spPr>
            <a:xfrm>
              <a:off x="562285" y="79248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039322"/>
            <a:ext cx="5229624" cy="1266853"/>
            <a:chOff x="11201400" y="3810000"/>
            <a:chExt cx="5229624" cy="1266853"/>
          </a:xfrm>
        </xdr:grpSpPr>
        <xdr:sp macro="" textlink="">
          <xdr:nvSpPr>
            <xdr:cNvPr id="125" name="txt_Etapa" descr="Se não tiver certeza de que o valor de pesquisa existe, mas ainda assim deseja suprimir o erro #N/D, é possível usar uma função de tratamento de erros chamada SEERRO na célula G43: =SEERRO(PROCV(F43;F37:G41;2;FALSO);&quot;&quot;). SEERRO informa que se a função PROCV retorna um resultado válido, exiba este resultado, caso contrário, não exiba nada (&quot;&quot;). Não exibimos nada aqui (&quot;&quot;), mas também é possível usar números (0, 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3899583"/>
              <a:ext cx="4809743" cy="117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certeza de que o valor de pesquisa existe, mas ainda assim deseja suprimir o erro #N/D, é possível usar uma função de tratamento de erros chamada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informa que se a função PROCV retorna um resultado válido, exiba este resultado, caso contrário, não exiba nada (""). Aqui exibimos nada (""), mas você também pode usar números (0,1, 2, etc.), ou um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Etapa" descr="2">
              <a:extLst>
                <a:ext uri="{FF2B5EF4-FFF2-40B4-BE49-F238E27FC236}">
                  <a16:creationId xmlns:a16="http://schemas.microsoft.com/office/drawing/2014/main" id="{5CAEF7F2-CADC-4405-A740-3677A6585269}"/>
                </a:ext>
              </a:extLst>
            </xdr:cNvPr>
            <xdr:cNvSpPr/>
          </xdr:nvSpPr>
          <xdr:spPr>
            <a:xfrm>
              <a:off x="11201400" y="38100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61</xdr:row>
      <xdr:rowOff>19022</xdr:rowOff>
    </xdr:from>
    <xdr:to>
      <xdr:col>1</xdr:col>
      <xdr:colOff>998945</xdr:colOff>
      <xdr:row>62</xdr:row>
      <xdr:rowOff>163971</xdr:rowOff>
    </xdr:to>
    <xdr:sp macro="" textlink="">
      <xdr:nvSpPr>
        <xdr:cNvPr id="129"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049FDD6C-0419-436A-A64D-A3B2D630D4B4}"/>
            </a:ext>
          </a:extLst>
        </xdr:cNvPr>
        <xdr:cNvSpPr/>
      </xdr:nvSpPr>
      <xdr:spPr>
        <a:xfrm flipH="1">
          <a:off x="571500"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3665586</xdr:colOff>
      <xdr:row>61</xdr:row>
      <xdr:rowOff>19022</xdr:rowOff>
    </xdr:from>
    <xdr:to>
      <xdr:col>1</xdr:col>
      <xdr:colOff>4940756</xdr:colOff>
      <xdr:row>62</xdr:row>
      <xdr:rowOff>163971</xdr:rowOff>
    </xdr:to>
    <xdr:sp macro="" textlink="">
      <xdr:nvSpPr>
        <xdr:cNvPr id="13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7E521B5B-4F6E-46CF-9081-B282E69CE49D}"/>
            </a:ext>
          </a:extLst>
        </xdr:cNvPr>
        <xdr:cNvSpPr/>
      </xdr:nvSpPr>
      <xdr:spPr>
        <a:xfrm>
          <a:off x="4513311"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686676" y="8839207"/>
          <a:ext cx="3848100" cy="2238366"/>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SEERRO</a:t>
            </a:r>
            <a:r>
              <a:rPr lang="pt-br" sz="1100" b="0" i="0" kern="1200" baseline="0">
                <a:solidFill>
                  <a:schemeClr val="dk1"/>
                </a:solidFill>
                <a:effectLst/>
                <a:latin typeface="+mn-lt"/>
                <a:ea typeface="+mn-ea"/>
                <a:cs typeface="+mn-cs"/>
              </a:rPr>
              <a:t> é conhecida como uma função de tratamento de erros, ou seja, ela suprime todos os erros que sua fórmula pode gerar. Isso pode causar problemas se o Excel oferecer uma notificação de que sua fórmula tem um erro legítimo precisa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br" sz="1100" b="0" i="0" kern="1200" baseline="0">
                <a:solidFill>
                  <a:schemeClr val="dk1"/>
                </a:solidFill>
                <a:effectLst/>
                <a:latin typeface="+mn-lt"/>
                <a:ea typeface="+mn-ea"/>
                <a:cs typeface="+mn-cs"/>
              </a:rPr>
              <a:t>Uma prática comum é não adicionar funções de tratamento de erros em suas fórmulas até ter certeza absoluta de que elas funcionam corretamente.</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385769</xdr:colOff>
      <xdr:row>7</xdr:row>
      <xdr:rowOff>114280</xdr:rowOff>
    </xdr:from>
    <xdr:to>
      <xdr:col>1</xdr:col>
      <xdr:colOff>4114807</xdr:colOff>
      <xdr:row>20</xdr:row>
      <xdr:rowOff>161496</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33494" y="2019280"/>
          <a:ext cx="3729038" cy="2523716"/>
          <a:chOff x="3228975" y="1476375"/>
          <a:chExt cx="3729038" cy="2523716"/>
        </a:xfrm>
      </xdr:grpSpPr>
      <xdr:sp macro="" textlink="">
        <xdr:nvSpPr>
          <xdr:cNvPr id="136" name="ChaveDeFórmulaAnt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DeFórmulaAnt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DeFórmulaPost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DeFórmulaPost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28975" y="2486025"/>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eFórmulaSuperior" descr="O que você gostaria 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que você gostaria de procurar?</a:t>
            </a:r>
          </a:p>
        </xdr:txBody>
      </xdr:sp>
      <xdr:sp macro="" textlink="">
        <xdr:nvSpPr>
          <xdr:cNvPr id="142" name="txt_BalãoDeFórmulaSuperior" descr="Se encontrar, a quantas colunas à direita está o valor a obter?&#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Se encontrar, a quantas colunas à direita está o valor a obter?</a:t>
            </a:r>
          </a:p>
        </xdr:txBody>
      </xdr:sp>
      <xdr:sp macro="" textlink="">
        <xdr:nvSpPr>
          <xdr:cNvPr id="143" name="txt_BalãoDeFórmulaInferior" descr="Onde você gostaria de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Onde você gostaria de procurar?</a:t>
            </a:r>
          </a:p>
        </xdr:txBody>
      </xdr:sp>
      <xdr:sp macro="" textlink="">
        <xdr:nvSpPr>
          <xdr:cNvPr id="144" name="txt_BalãoDeFórmulaInferior" descr="Você deseja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05065" y="3105150"/>
            <a:ext cx="1181491"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Você deseja uma correspondência exata ou aproximada?</a:t>
            </a:r>
          </a:p>
        </xdr:txBody>
      </xdr:sp>
    </xdr:grpSp>
    <xdr:clientData/>
  </xdr:twoCellAnchor>
  <xdr:twoCellAnchor>
    <xdr:from>
      <xdr:col>2</xdr:col>
      <xdr:colOff>830184</xdr:colOff>
      <xdr:row>22</xdr:row>
      <xdr:rowOff>66674</xdr:rowOff>
    </xdr:from>
    <xdr:to>
      <xdr:col>7</xdr:col>
      <xdr:colOff>533399</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202409" y="4829174"/>
          <a:ext cx="3398915" cy="1223105"/>
          <a:chOff x="7726285" y="4829174"/>
          <a:chExt cx="365417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5" y="5104177"/>
            <a:ext cx="3654177" cy="948102"/>
            <a:chOff x="6370551" y="2394314"/>
            <a:chExt cx="2849580" cy="948102"/>
          </a:xfrm>
        </xdr:grpSpPr>
        <xdr:sp macro="" textlink="">
          <xdr:nvSpPr>
            <xdr:cNvPr id="109" name="Etapa"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264975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Tente selecionar</a:t>
              </a:r>
              <a:r>
                <a:rPr lang="pt-br" sz="1100" kern="0" baseline="0">
                  <a:solidFill>
                    <a:schemeClr val="bg2">
                      <a:lumMod val="25000"/>
                    </a:schemeClr>
                  </a:solidFill>
                  <a:latin typeface="+mn-lt"/>
                  <a:ea typeface="Segoe UI" pitchFamily="34" charset="0"/>
                  <a:cs typeface="Segoe UI Light" panose="020B0502040204020203" pitchFamily="34" charset="0"/>
                </a:rPr>
                <a:t> diferentes itens nas listas suspensas. Você verá as células de resultado mudarem instantaneamente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Elemento gráfico 96" descr="Frasco">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DeFórmulaAnt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Etapa" descr="Digite = SOMA(D4:D7) e pressione Enter. Ao terminar, você verá o resultado de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379930</xdr:colOff>
      <xdr:row>122</xdr:row>
      <xdr:rowOff>209547</xdr:rowOff>
    </xdr:from>
    <xdr:to>
      <xdr:col>9</xdr:col>
      <xdr:colOff>228601</xdr:colOff>
      <xdr:row>132</xdr:row>
      <xdr:rowOff>77656</xdr:rowOff>
    </xdr:to>
    <xdr:grpSp>
      <xdr:nvGrpSpPr>
        <xdr:cNvPr id="88" name="É BOM SABER"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599880" y="24069672"/>
          <a:ext cx="4477821" cy="1801684"/>
          <a:chOff x="5560921" y="15560510"/>
          <a:chExt cx="4649879" cy="1730540"/>
        </a:xfrm>
      </xdr:grpSpPr>
      <xdr:sp macro="" textlink="">
        <xdr:nvSpPr>
          <xdr:cNvPr id="92" name="Etapa"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duas vezes nessa célula e você verá que a fórmula é diferente. Especificamente, os critérios de soma são "&gt;=50", o que significa maior ou igual a 50. Há outros operadores que você pode usar, como "&lt;=50", que é </a:t>
            </a:r>
            <a:r>
              <a:rPr lang="pt-br" sz="1100" b="0" i="1" kern="1200" baseline="0">
                <a:solidFill>
                  <a:schemeClr val="dk1"/>
                </a:solidFill>
                <a:effectLst/>
                <a:latin typeface="+mn-lt"/>
                <a:ea typeface="+mn-ea"/>
                <a:cs typeface="+mn-cs"/>
              </a:rPr>
              <a:t>menor ou igual</a:t>
            </a:r>
            <a:r>
              <a:rPr lang="pt-br" sz="1100" b="0" i="0" kern="1200" baseline="0">
                <a:solidFill>
                  <a:schemeClr val="dk1"/>
                </a:solidFill>
                <a:effectLst/>
                <a:latin typeface="+mn-lt"/>
                <a:ea typeface="+mn-ea"/>
                <a:cs typeface="+mn-cs"/>
              </a:rPr>
              <a:t> a 50 E há "&lt;&gt;50", que é </a:t>
            </a:r>
            <a:r>
              <a:rPr lang="pt-br" sz="1100" b="0" i="1" kern="1200" baseline="0">
                <a:solidFill>
                  <a:schemeClr val="dk1"/>
                </a:solidFill>
                <a:effectLst/>
                <a:latin typeface="+mn-lt"/>
                <a:ea typeface="+mn-ea"/>
                <a:cs typeface="+mn-cs"/>
              </a:rPr>
              <a:t>não igual a 50</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93" name="Elemento 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021222" y="15100209"/>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138</xdr:row>
      <xdr:rowOff>171451</xdr:rowOff>
    </xdr:from>
    <xdr:to>
      <xdr:col>1</xdr:col>
      <xdr:colOff>5229224</xdr:colOff>
      <xdr:row>159</xdr:row>
      <xdr:rowOff>94116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2424" y="27108151"/>
          <a:ext cx="5724525" cy="392316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Etapa"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ctor reto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ctor reto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47625</xdr:rowOff>
    </xdr:to>
    <xdr:sp macro="" textlink="">
      <xdr:nvSpPr>
        <xdr:cNvPr id="168" name="Plano de fundo" descr="Plano de fundo">
          <a:extLst>
            <a:ext uri="{FF2B5EF4-FFF2-40B4-BE49-F238E27FC236}">
              <a16:creationId xmlns:a16="http://schemas.microsoft.com/office/drawing/2014/main" id="{E6C939DA-20FC-4617-9AC0-0E0FD53C0BBC}"/>
            </a:ext>
          </a:extLst>
        </xdr:cNvPr>
        <xdr:cNvSpPr/>
      </xdr:nvSpPr>
      <xdr:spPr>
        <a:xfrm>
          <a:off x="342900" y="352425"/>
          <a:ext cx="5734050" cy="9220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Etapa" descr="Funções condicionais: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SOMASE</a:t>
          </a:r>
        </a:p>
      </xdr:txBody>
    </xdr:sp>
    <xdr:clientData/>
  </xdr:twoCellAnchor>
  <xdr:twoCellAnchor editAs="absolute">
    <xdr:from>
      <xdr:col>0</xdr:col>
      <xdr:colOff>547701</xdr:colOff>
      <xdr:row>42</xdr:row>
      <xdr:rowOff>183092</xdr:rowOff>
    </xdr:from>
    <xdr:to>
      <xdr:col>1</xdr:col>
      <xdr:colOff>4948224</xdr:colOff>
      <xdr:row>42</xdr:row>
      <xdr:rowOff>183092</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7555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Introdução à adição de números" descr="As funções condicionais permitem a soma, a média, a contagem ou a obter os valores mínimo e máximo de um intervalo com base em uma determinada condição ou critério que você especificar. Por exemplo, de todas as frutas na lista, quantas são maçãs. Ou, quantas laranjas são do tipo Flórida?&#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Funções condicionais possibilitam calcular a soma, a média, fazer a contagem ou obter o mínimo ou o máximo de um intervalo com base em uma determinada condição ou critérios especificados por você. Tais como:</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todas as frutas na lista, quantas são maçãs? Ou, quantas laranjas são do tipo laranja da Bahia?</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57150</xdr:rowOff>
    </xdr:from>
    <xdr:to>
      <xdr:col>1</xdr:col>
      <xdr:colOff>4915231</xdr:colOff>
      <xdr:row>12</xdr:row>
      <xdr:rowOff>66674</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23788" y="1962150"/>
          <a:ext cx="5239168" cy="962024"/>
          <a:chOff x="571500" y="1771650"/>
          <a:chExt cx="5229626" cy="962024"/>
        </a:xfrm>
      </xdr:grpSpPr>
      <xdr:sp macro="" textlink="">
        <xdr:nvSpPr>
          <xdr:cNvPr id="174" name="txt_Etapa" descr="A função SOMASE permite somar em um intervalo com base em um critério específico que você procura em outro intervalo, como quantas maçãs você tem. Selecione a célula D17 e digite =SOMASE(C3:C14;C17;D3:D14). A SOMASE é estruturada da seguinte maneira:&#10;">
            <a:extLst>
              <a:ext uri="{FF2B5EF4-FFF2-40B4-BE49-F238E27FC236}">
                <a16:creationId xmlns:a16="http://schemas.microsoft.com/office/drawing/2014/main" id="{2D2520E8-CC78-428A-A2A1-03FB76DC9AF2}"/>
              </a:ext>
            </a:extLst>
          </xdr:cNvPr>
          <xdr:cNvSpPr txBox="1"/>
        </xdr:nvSpPr>
        <xdr:spPr>
          <a:xfrm>
            <a:off x="991382" y="1813607"/>
            <a:ext cx="4809744" cy="92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somar em um intervalo com base em critérios específicos usados em outro intervalo, como quantas maçãs você tem. Selecione a célula D17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xdr:txBody>
      </xdr:sp>
      <xdr:sp macro="" textlink="">
        <xdr:nvSpPr>
          <xdr:cNvPr id="175" name="shp_Etapa"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43</xdr:row>
      <xdr:rowOff>135466</xdr:rowOff>
    </xdr:from>
    <xdr:to>
      <xdr:col>1</xdr:col>
      <xdr:colOff>4887529</xdr:colOff>
      <xdr:row>45</xdr:row>
      <xdr:rowOff>112065</xdr:rowOff>
    </xdr:to>
    <xdr:sp macro="" textlink="">
      <xdr:nvSpPr>
        <xdr:cNvPr id="176"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A7F57915-4D95-47B4-A488-FB7E3D0BBF97}"/>
            </a:ext>
          </a:extLst>
        </xdr:cNvPr>
        <xdr:cNvSpPr/>
      </xdr:nvSpPr>
      <xdr:spPr>
        <a:xfrm>
          <a:off x="4591051" y="8898466"/>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652334</xdr:colOff>
      <xdr:row>155</xdr:row>
      <xdr:rowOff>173001</xdr:rowOff>
    </xdr:from>
    <xdr:to>
      <xdr:col>1</xdr:col>
      <xdr:colOff>2562832</xdr:colOff>
      <xdr:row>158</xdr:row>
      <xdr:rowOff>148164</xdr:rowOff>
    </xdr:to>
    <xdr:sp macro="" textlink="">
      <xdr:nvSpPr>
        <xdr:cNvPr id="177" name="Botão Avançar" descr="Voltar para cima, com hiperlink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34820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3541957</xdr:colOff>
      <xdr:row>156</xdr:row>
      <xdr:rowOff>174705</xdr:rowOff>
    </xdr:from>
    <xdr:to>
      <xdr:col>1</xdr:col>
      <xdr:colOff>4960357</xdr:colOff>
      <xdr:row>158</xdr:row>
      <xdr:rowOff>150812</xdr:rowOff>
    </xdr:to>
    <xdr:sp macro="" textlink="">
      <xdr:nvSpPr>
        <xdr:cNvPr id="178" name="Botão Avançar" descr="Botão Próxima etapa, com um hiperlink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21885DC0-F099-46D4-A1CF-17E11C390036}"/>
            </a:ext>
          </a:extLst>
        </xdr:cNvPr>
        <xdr:cNvSpPr/>
      </xdr:nvSpPr>
      <xdr:spPr>
        <a:xfrm>
          <a:off x="4389682" y="30540405"/>
          <a:ext cx="1418400"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clientData/>
  </xdr:twoCellAnchor>
  <xdr:twoCellAnchor editAs="absolute">
    <xdr:from>
      <xdr:col>1</xdr:col>
      <xdr:colOff>2875440</xdr:colOff>
      <xdr:row>151</xdr:row>
      <xdr:rowOff>142607</xdr:rowOff>
    </xdr:from>
    <xdr:to>
      <xdr:col>1</xdr:col>
      <xdr:colOff>4657725</xdr:colOff>
      <xdr:row>153</xdr:row>
      <xdr:rowOff>180974</xdr:rowOff>
    </xdr:to>
    <xdr:sp macro="" textlink="">
      <xdr:nvSpPr>
        <xdr:cNvPr id="179" name="Etapa" descr="Treinamento gratuito do Excel online, com um hiperlink para a Web&#10;">
          <a:hlinkClick xmlns:r="http://schemas.openxmlformats.org/officeDocument/2006/relationships" r:id="rId5" tooltip="Selecione para aprender sobre o treinamento de Excel online e gratuito na Web"/>
          <a:extLst>
            <a:ext uri="{FF2B5EF4-FFF2-40B4-BE49-F238E27FC236}">
              <a16:creationId xmlns:a16="http://schemas.microsoft.com/office/drawing/2014/main" id="{8052CE9F-9F0B-4E5C-BCC9-9FAF4B271CC6}"/>
            </a:ext>
          </a:extLst>
        </xdr:cNvPr>
        <xdr:cNvSpPr txBox="1"/>
      </xdr:nvSpPr>
      <xdr:spPr>
        <a:xfrm>
          <a:off x="3723165" y="29555807"/>
          <a:ext cx="1782285" cy="41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clientData/>
  </xdr:twoCellAnchor>
  <xdr:twoCellAnchor editAs="absolute">
    <xdr:from>
      <xdr:col>1</xdr:col>
      <xdr:colOff>2410256</xdr:colOff>
      <xdr:row>151</xdr:row>
      <xdr:rowOff>156096</xdr:rowOff>
    </xdr:from>
    <xdr:to>
      <xdr:col>1</xdr:col>
      <xdr:colOff>2904988</xdr:colOff>
      <xdr:row>154</xdr:row>
      <xdr:rowOff>39428</xdr:rowOff>
    </xdr:to>
    <xdr:pic>
      <xdr:nvPicPr>
        <xdr:cNvPr id="180"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569296"/>
          <a:ext cx="494732" cy="454832"/>
        </a:xfrm>
        <a:prstGeom prst="rect">
          <a:avLst/>
        </a:prstGeom>
      </xdr:spPr>
    </xdr:pic>
    <xdr:clientData/>
  </xdr:twoCellAnchor>
  <xdr:twoCellAnchor editAs="absolute">
    <xdr:from>
      <xdr:col>1</xdr:col>
      <xdr:colOff>2875440</xdr:colOff>
      <xdr:row>149</xdr:row>
      <xdr:rowOff>66280</xdr:rowOff>
    </xdr:from>
    <xdr:to>
      <xdr:col>1</xdr:col>
      <xdr:colOff>4981575</xdr:colOff>
      <xdr:row>151</xdr:row>
      <xdr:rowOff>171450</xdr:rowOff>
    </xdr:to>
    <xdr:sp macro="" textlink="">
      <xdr:nvSpPr>
        <xdr:cNvPr id="181" name="Etapa" descr="Tudo sobre a função MÁXIMOSES, com um hiperlink para a Web&#10;&#10;">
          <a:hlinkClick xmlns:r="http://schemas.openxmlformats.org/officeDocument/2006/relationships" r:id="rId8" tooltip="Selecione para aprender tudo sobre a função MÁXIMOSES na Web"/>
          <a:extLst>
            <a:ext uri="{FF2B5EF4-FFF2-40B4-BE49-F238E27FC236}">
              <a16:creationId xmlns:a16="http://schemas.microsoft.com/office/drawing/2014/main" id="{3FFDC6A0-9831-442E-AB6B-F06D71AAAD14}"/>
            </a:ext>
          </a:extLst>
        </xdr:cNvPr>
        <xdr:cNvSpPr txBox="1"/>
      </xdr:nvSpPr>
      <xdr:spPr>
        <a:xfrm>
          <a:off x="3723165" y="29098480"/>
          <a:ext cx="2106135" cy="486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editAs="absolute">
    <xdr:from>
      <xdr:col>1</xdr:col>
      <xdr:colOff>2410256</xdr:colOff>
      <xdr:row>149</xdr:row>
      <xdr:rowOff>76871</xdr:rowOff>
    </xdr:from>
    <xdr:to>
      <xdr:col>1</xdr:col>
      <xdr:colOff>2904988</xdr:colOff>
      <xdr:row>151</xdr:row>
      <xdr:rowOff>144075</xdr:rowOff>
    </xdr:to>
    <xdr:pic>
      <xdr:nvPicPr>
        <xdr:cNvPr id="182"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109071"/>
          <a:ext cx="494732" cy="448204"/>
        </a:xfrm>
        <a:prstGeom prst="rect">
          <a:avLst/>
        </a:prstGeom>
      </xdr:spPr>
    </xdr:pic>
    <xdr:clientData/>
  </xdr:twoCellAnchor>
  <xdr:twoCellAnchor editAs="absolute">
    <xdr:from>
      <xdr:col>1</xdr:col>
      <xdr:colOff>2884966</xdr:colOff>
      <xdr:row>147</xdr:row>
      <xdr:rowOff>85725</xdr:rowOff>
    </xdr:from>
    <xdr:to>
      <xdr:col>1</xdr:col>
      <xdr:colOff>5365432</xdr:colOff>
      <xdr:row>149</xdr:row>
      <xdr:rowOff>123824</xdr:rowOff>
    </xdr:to>
    <xdr:sp macro="" textlink="">
      <xdr:nvSpPr>
        <xdr:cNvPr id="183" name="Etapa" descr="Tudo sobre a função MÉDIASES, com um hiperlink para a Web&#10;&#10;">
          <a:hlinkClick xmlns:r="http://schemas.openxmlformats.org/officeDocument/2006/relationships" r:id="rId9" tooltip="Selecione para aprender tudo sobre a função MÉDIASES na Web"/>
          <a:extLst>
            <a:ext uri="{FF2B5EF4-FFF2-40B4-BE49-F238E27FC236}">
              <a16:creationId xmlns:a16="http://schemas.microsoft.com/office/drawing/2014/main" id="{5979CD87-1D2E-4D32-BF44-CE7F4285B790}"/>
            </a:ext>
          </a:extLst>
        </xdr:cNvPr>
        <xdr:cNvSpPr txBox="1"/>
      </xdr:nvSpPr>
      <xdr:spPr>
        <a:xfrm>
          <a:off x="3732691" y="28736925"/>
          <a:ext cx="2480466"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1</xdr:col>
      <xdr:colOff>2410256</xdr:colOff>
      <xdr:row>147</xdr:row>
      <xdr:rowOff>43534</xdr:rowOff>
    </xdr:from>
    <xdr:to>
      <xdr:col>1</xdr:col>
      <xdr:colOff>2904988</xdr:colOff>
      <xdr:row>149</xdr:row>
      <xdr:rowOff>110738</xdr:rowOff>
    </xdr:to>
    <xdr:pic>
      <xdr:nvPicPr>
        <xdr:cNvPr id="184"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694734"/>
          <a:ext cx="494732" cy="448204"/>
        </a:xfrm>
        <a:prstGeom prst="rect">
          <a:avLst/>
        </a:prstGeom>
      </xdr:spPr>
    </xdr:pic>
    <xdr:clientData/>
  </xdr:twoCellAnchor>
  <xdr:twoCellAnchor editAs="absolute">
    <xdr:from>
      <xdr:col>1</xdr:col>
      <xdr:colOff>179866</xdr:colOff>
      <xdr:row>147</xdr:row>
      <xdr:rowOff>109143</xdr:rowOff>
    </xdr:from>
    <xdr:to>
      <xdr:col>1</xdr:col>
      <xdr:colOff>2535885</xdr:colOff>
      <xdr:row>149</xdr:row>
      <xdr:rowOff>45129</xdr:rowOff>
    </xdr:to>
    <xdr:sp macro="" textlink="">
      <xdr:nvSpPr>
        <xdr:cNvPr id="185" name="Etapa" descr="Tudo sobre a função MÉDIASE, com um hiperlink para a Web&#10;&#10;">
          <a:hlinkClick xmlns:r="http://schemas.openxmlformats.org/officeDocument/2006/relationships" r:id="rId10" tooltip="Selecione para aprender tudo sobre a função MÉDIASE na Web"/>
          <a:extLst>
            <a:ext uri="{FF2B5EF4-FFF2-40B4-BE49-F238E27FC236}">
              <a16:creationId xmlns:a16="http://schemas.microsoft.com/office/drawing/2014/main" id="{9FF9239A-F102-47F3-A0A3-68BDFAFB9C67}"/>
            </a:ext>
          </a:extLst>
        </xdr:cNvPr>
        <xdr:cNvSpPr txBox="1"/>
      </xdr:nvSpPr>
      <xdr:spPr>
        <a:xfrm>
          <a:off x="1027591" y="2876034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editAs="absolute">
    <xdr:from>
      <xdr:col>0</xdr:col>
      <xdr:colOff>562406</xdr:colOff>
      <xdr:row>147</xdr:row>
      <xdr:rowOff>41152</xdr:rowOff>
    </xdr:from>
    <xdr:to>
      <xdr:col>1</xdr:col>
      <xdr:colOff>209413</xdr:colOff>
      <xdr:row>149</xdr:row>
      <xdr:rowOff>108356</xdr:rowOff>
    </xdr:to>
    <xdr:pic>
      <xdr:nvPicPr>
        <xdr:cNvPr id="186"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692352"/>
          <a:ext cx="494732" cy="448204"/>
        </a:xfrm>
        <a:prstGeom prst="rect">
          <a:avLst/>
        </a:prstGeom>
      </xdr:spPr>
    </xdr:pic>
    <xdr:clientData/>
  </xdr:twoCellAnchor>
  <xdr:twoCellAnchor editAs="absolute">
    <xdr:from>
      <xdr:col>1</xdr:col>
      <xdr:colOff>179865</xdr:colOff>
      <xdr:row>149</xdr:row>
      <xdr:rowOff>75805</xdr:rowOff>
    </xdr:from>
    <xdr:to>
      <xdr:col>1</xdr:col>
      <xdr:colOff>2305050</xdr:colOff>
      <xdr:row>151</xdr:row>
      <xdr:rowOff>142875</xdr:rowOff>
    </xdr:to>
    <xdr:sp macro="" textlink="">
      <xdr:nvSpPr>
        <xdr:cNvPr id="187" name="Etapa" descr="Tudo sobre a função MÍNIMOSES, com um hiperlink para a Web&#10;&#10;">
          <a:hlinkClick xmlns:r="http://schemas.openxmlformats.org/officeDocument/2006/relationships" r:id="rId11" tooltip="Selecione para aprender tudo sobre a função MÍNIMOSES na Web"/>
          <a:extLst>
            <a:ext uri="{FF2B5EF4-FFF2-40B4-BE49-F238E27FC236}">
              <a16:creationId xmlns:a16="http://schemas.microsoft.com/office/drawing/2014/main" id="{5BA88C28-4CAB-4843-A9C6-0DA18559CEDE}"/>
            </a:ext>
          </a:extLst>
        </xdr:cNvPr>
        <xdr:cNvSpPr txBox="1"/>
      </xdr:nvSpPr>
      <xdr:spPr>
        <a:xfrm>
          <a:off x="1027590" y="29108005"/>
          <a:ext cx="2125185" cy="44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editAs="absolute">
    <xdr:from>
      <xdr:col>0</xdr:col>
      <xdr:colOff>562406</xdr:colOff>
      <xdr:row>149</xdr:row>
      <xdr:rowOff>87586</xdr:rowOff>
    </xdr:from>
    <xdr:to>
      <xdr:col>1</xdr:col>
      <xdr:colOff>209413</xdr:colOff>
      <xdr:row>151</xdr:row>
      <xdr:rowOff>154790</xdr:rowOff>
    </xdr:to>
    <xdr:pic>
      <xdr:nvPicPr>
        <xdr:cNvPr id="188"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119786"/>
          <a:ext cx="494732" cy="448204"/>
        </a:xfrm>
        <a:prstGeom prst="rect">
          <a:avLst/>
        </a:prstGeom>
      </xdr:spPr>
    </xdr:pic>
    <xdr:clientData/>
  </xdr:twoCellAnchor>
  <xdr:twoCellAnchor editAs="absolute">
    <xdr:from>
      <xdr:col>1</xdr:col>
      <xdr:colOff>2875441</xdr:colOff>
      <xdr:row>145</xdr:row>
      <xdr:rowOff>47625</xdr:rowOff>
    </xdr:from>
    <xdr:to>
      <xdr:col>1</xdr:col>
      <xdr:colOff>5212315</xdr:colOff>
      <xdr:row>147</xdr:row>
      <xdr:rowOff>47624</xdr:rowOff>
    </xdr:to>
    <xdr:sp macro="" textlink="">
      <xdr:nvSpPr>
        <xdr:cNvPr id="189" name="Etapa" descr="Tudo sobre a função CONT.SES, com um hiperlink para a Web&#10;&#10;">
          <a:hlinkClick xmlns:r="http://schemas.openxmlformats.org/officeDocument/2006/relationships" r:id="rId12" tooltip="Selecione para aprender tudo sobre a função CONT.SES na Web"/>
          <a:extLst>
            <a:ext uri="{FF2B5EF4-FFF2-40B4-BE49-F238E27FC236}">
              <a16:creationId xmlns:a16="http://schemas.microsoft.com/office/drawing/2014/main" id="{EADD320D-BECB-4510-A526-402BC7B8CE52}"/>
            </a:ext>
          </a:extLst>
        </xdr:cNvPr>
        <xdr:cNvSpPr txBox="1"/>
      </xdr:nvSpPr>
      <xdr:spPr>
        <a:xfrm>
          <a:off x="3723166" y="28317825"/>
          <a:ext cx="233687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CONT.SES</a:t>
          </a:r>
          <a:endPar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1</xdr:col>
      <xdr:colOff>2410256</xdr:colOff>
      <xdr:row>145</xdr:row>
      <xdr:rowOff>671</xdr:rowOff>
    </xdr:from>
    <xdr:to>
      <xdr:col>1</xdr:col>
      <xdr:colOff>2904988</xdr:colOff>
      <xdr:row>147</xdr:row>
      <xdr:rowOff>67875</xdr:rowOff>
    </xdr:to>
    <xdr:pic>
      <xdr:nvPicPr>
        <xdr:cNvPr id="190"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270871"/>
          <a:ext cx="494732" cy="448204"/>
        </a:xfrm>
        <a:prstGeom prst="rect">
          <a:avLst/>
        </a:prstGeom>
      </xdr:spPr>
    </xdr:pic>
    <xdr:clientData/>
  </xdr:twoCellAnchor>
  <xdr:twoCellAnchor editAs="absolute">
    <xdr:from>
      <xdr:col>1</xdr:col>
      <xdr:colOff>2875441</xdr:colOff>
      <xdr:row>143</xdr:row>
      <xdr:rowOff>13893</xdr:rowOff>
    </xdr:from>
    <xdr:to>
      <xdr:col>1</xdr:col>
      <xdr:colOff>5059150</xdr:colOff>
      <xdr:row>144</xdr:row>
      <xdr:rowOff>134029</xdr:rowOff>
    </xdr:to>
    <xdr:sp macro="" textlink="">
      <xdr:nvSpPr>
        <xdr:cNvPr id="191" name="Etapa" descr="Tudo sobre a função SOMASES, com um hiperlink para a Web&#10;&#10;">
          <a:hlinkClick xmlns:r="http://schemas.openxmlformats.org/officeDocument/2006/relationships" r:id="rId13" tooltip="Selecione para aprender tudo sobre a função SOMASES na Web"/>
          <a:extLst>
            <a:ext uri="{FF2B5EF4-FFF2-40B4-BE49-F238E27FC236}">
              <a16:creationId xmlns:a16="http://schemas.microsoft.com/office/drawing/2014/main" id="{791E8E89-8DEE-430C-AEDB-E56F74AA279F}"/>
            </a:ext>
          </a:extLst>
        </xdr:cNvPr>
        <xdr:cNvSpPr txBox="1"/>
      </xdr:nvSpPr>
      <xdr:spPr>
        <a:xfrm>
          <a:off x="3723166" y="27903093"/>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a:latin typeface="Segoe UI" panose="020B0502040204020203" pitchFamily="34" charset="0"/>
              <a:cs typeface="Segoe UI" panose="020B0502040204020203" pitchFamily="34" charset="0"/>
            </a:rPr>
            <a:t>SOMASES</a:t>
          </a:r>
          <a:endParaRPr sz="1100" b="1" u="sng">
            <a:latin typeface="Segoe UI" panose="020B0502040204020203" pitchFamily="34" charset="0"/>
            <a:cs typeface="Segoe UI" panose="020B0502040204020203" pitchFamily="34" charset="0"/>
          </a:endParaRPr>
        </a:p>
      </xdr:txBody>
    </xdr:sp>
    <xdr:clientData/>
  </xdr:twoCellAnchor>
  <xdr:twoCellAnchor editAs="absolute">
    <xdr:from>
      <xdr:col>1</xdr:col>
      <xdr:colOff>2410256</xdr:colOff>
      <xdr:row>142</xdr:row>
      <xdr:rowOff>145134</xdr:rowOff>
    </xdr:from>
    <xdr:to>
      <xdr:col>1</xdr:col>
      <xdr:colOff>2904988</xdr:colOff>
      <xdr:row>145</xdr:row>
      <xdr:rowOff>15488</xdr:rowOff>
    </xdr:to>
    <xdr:pic>
      <xdr:nvPicPr>
        <xdr:cNvPr id="192"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843834"/>
          <a:ext cx="494732" cy="441854"/>
        </a:xfrm>
        <a:prstGeom prst="rect">
          <a:avLst/>
        </a:prstGeom>
      </xdr:spPr>
    </xdr:pic>
    <xdr:clientData/>
  </xdr:twoCellAnchor>
  <xdr:twoCellAnchor editAs="absolute">
    <xdr:from>
      <xdr:col>1</xdr:col>
      <xdr:colOff>179866</xdr:colOff>
      <xdr:row>143</xdr:row>
      <xdr:rowOff>13893</xdr:rowOff>
    </xdr:from>
    <xdr:to>
      <xdr:col>1</xdr:col>
      <xdr:colOff>2552700</xdr:colOff>
      <xdr:row>144</xdr:row>
      <xdr:rowOff>134029</xdr:rowOff>
    </xdr:to>
    <xdr:sp macro="" textlink="">
      <xdr:nvSpPr>
        <xdr:cNvPr id="193" name="Etapa" descr="Tudo sobre a função SOMASE, com um hiperlink para a Web&#10;&#10;">
          <a:hlinkClick xmlns:r="http://schemas.openxmlformats.org/officeDocument/2006/relationships" r:id="rId14" tooltip="Selecione para aprender tudo sobre a função SOMASE na Web"/>
          <a:extLst>
            <a:ext uri="{FF2B5EF4-FFF2-40B4-BE49-F238E27FC236}">
              <a16:creationId xmlns:a16="http://schemas.microsoft.com/office/drawing/2014/main" id="{EAC8BE16-FCC7-483A-A30D-3B1F29F65450}"/>
            </a:ext>
          </a:extLst>
        </xdr:cNvPr>
        <xdr:cNvSpPr txBox="1"/>
      </xdr:nvSpPr>
      <xdr:spPr>
        <a:xfrm>
          <a:off x="1027591" y="27903093"/>
          <a:ext cx="237283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editAs="absolute">
    <xdr:from>
      <xdr:col>0</xdr:col>
      <xdr:colOff>562406</xdr:colOff>
      <xdr:row>142</xdr:row>
      <xdr:rowOff>145134</xdr:rowOff>
    </xdr:from>
    <xdr:to>
      <xdr:col>1</xdr:col>
      <xdr:colOff>209413</xdr:colOff>
      <xdr:row>145</xdr:row>
      <xdr:rowOff>15488</xdr:rowOff>
    </xdr:to>
    <xdr:pic>
      <xdr:nvPicPr>
        <xdr:cNvPr id="1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843834"/>
          <a:ext cx="494732" cy="441854"/>
        </a:xfrm>
        <a:prstGeom prst="rect">
          <a:avLst/>
        </a:prstGeom>
      </xdr:spPr>
    </xdr:pic>
    <xdr:clientData/>
  </xdr:twoCellAnchor>
  <xdr:twoCellAnchor editAs="absolute">
    <xdr:from>
      <xdr:col>1</xdr:col>
      <xdr:colOff>179866</xdr:colOff>
      <xdr:row>145</xdr:row>
      <xdr:rowOff>66280</xdr:rowOff>
    </xdr:from>
    <xdr:to>
      <xdr:col>1</xdr:col>
      <xdr:colOff>2392294</xdr:colOff>
      <xdr:row>147</xdr:row>
      <xdr:rowOff>2266</xdr:rowOff>
    </xdr:to>
    <xdr:sp macro="" textlink="">
      <xdr:nvSpPr>
        <xdr:cNvPr id="195" name="Etapa" descr="Tudo sobre a função CONT.SE, com um hiperlink para a Web&#10;&#10;">
          <a:hlinkClick xmlns:r="http://schemas.openxmlformats.org/officeDocument/2006/relationships" r:id="rId15" tooltip="Selecione para aprender tudo sobre a função CONT.SE na Web"/>
          <a:extLst>
            <a:ext uri="{FF2B5EF4-FFF2-40B4-BE49-F238E27FC236}">
              <a16:creationId xmlns:a16="http://schemas.microsoft.com/office/drawing/2014/main" id="{C6912341-001C-497C-904C-1E09825E8C65}"/>
            </a:ext>
          </a:extLst>
        </xdr:cNvPr>
        <xdr:cNvSpPr txBox="1"/>
      </xdr:nvSpPr>
      <xdr:spPr>
        <a:xfrm>
          <a:off x="1027591" y="28336480"/>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a:t>
          </a:r>
        </a:p>
      </xdr:txBody>
    </xdr:sp>
    <xdr:clientData/>
  </xdr:twoCellAnchor>
  <xdr:twoCellAnchor editAs="absolute">
    <xdr:from>
      <xdr:col>0</xdr:col>
      <xdr:colOff>562406</xdr:colOff>
      <xdr:row>144</xdr:row>
      <xdr:rowOff>185218</xdr:rowOff>
    </xdr:from>
    <xdr:to>
      <xdr:col>1</xdr:col>
      <xdr:colOff>209413</xdr:colOff>
      <xdr:row>147</xdr:row>
      <xdr:rowOff>61922</xdr:rowOff>
    </xdr:to>
    <xdr:pic>
      <xdr:nvPicPr>
        <xdr:cNvPr id="196"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264918"/>
          <a:ext cx="494732" cy="448204"/>
        </a:xfrm>
        <a:prstGeom prst="rect">
          <a:avLst/>
        </a:prstGeom>
      </xdr:spPr>
    </xdr:pic>
    <xdr:clientData/>
  </xdr:twoCellAnchor>
  <xdr:twoCellAnchor editAs="absolute">
    <xdr:from>
      <xdr:col>1</xdr:col>
      <xdr:colOff>179866</xdr:colOff>
      <xdr:row>152</xdr:row>
      <xdr:rowOff>9130</xdr:rowOff>
    </xdr:from>
    <xdr:to>
      <xdr:col>1</xdr:col>
      <xdr:colOff>2080042</xdr:colOff>
      <xdr:row>153</xdr:row>
      <xdr:rowOff>135616</xdr:rowOff>
    </xdr:to>
    <xdr:sp macro="" textlink="">
      <xdr:nvSpPr>
        <xdr:cNvPr id="197" name="Etapa" descr="Criar uma lista suspensa, com um hiperlink para a Web&#10;&#10;">
          <a:hlinkClick xmlns:r="http://schemas.openxmlformats.org/officeDocument/2006/relationships" r:id="rId16" tooltip="Selecione para saber mais sobre como criar uma lista suspensa na Web"/>
          <a:extLst>
            <a:ext uri="{FF2B5EF4-FFF2-40B4-BE49-F238E27FC236}">
              <a16:creationId xmlns:a16="http://schemas.microsoft.com/office/drawing/2014/main" id="{0E1FD4BB-1B69-400F-9A73-D9D7B8667E1C}"/>
            </a:ext>
          </a:extLst>
        </xdr:cNvPr>
        <xdr:cNvSpPr txBox="1"/>
      </xdr:nvSpPr>
      <xdr:spPr>
        <a:xfrm>
          <a:off x="1027591" y="2961283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suspensa</a:t>
          </a:r>
        </a:p>
      </xdr:txBody>
    </xdr:sp>
    <xdr:clientData/>
  </xdr:twoCellAnchor>
  <xdr:twoCellAnchor editAs="absolute">
    <xdr:from>
      <xdr:col>0</xdr:col>
      <xdr:colOff>562406</xdr:colOff>
      <xdr:row>151</xdr:row>
      <xdr:rowOff>134021</xdr:rowOff>
    </xdr:from>
    <xdr:to>
      <xdr:col>1</xdr:col>
      <xdr:colOff>209413</xdr:colOff>
      <xdr:row>154</xdr:row>
      <xdr:rowOff>10725</xdr:rowOff>
    </xdr:to>
    <xdr:pic>
      <xdr:nvPicPr>
        <xdr:cNvPr id="198"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547221"/>
          <a:ext cx="494732" cy="448204"/>
        </a:xfrm>
        <a:prstGeom prst="rect">
          <a:avLst/>
        </a:prstGeom>
      </xdr:spPr>
    </xdr:pic>
    <xdr:clientData/>
  </xdr:twoCellAnchor>
  <xdr:twoCellAnchor editAs="absolute">
    <xdr:from>
      <xdr:col>0</xdr:col>
      <xdr:colOff>523788</xdr:colOff>
      <xdr:row>23</xdr:row>
      <xdr:rowOff>47625</xdr:rowOff>
    </xdr:from>
    <xdr:to>
      <xdr:col>1</xdr:col>
      <xdr:colOff>4915231</xdr:colOff>
      <xdr:row>29</xdr:row>
      <xdr:rowOff>76199</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23788" y="5000625"/>
          <a:ext cx="5239168" cy="1171574"/>
          <a:chOff x="571500" y="4610100"/>
          <a:chExt cx="5229626" cy="1171574"/>
        </a:xfrm>
      </xdr:grpSpPr>
      <xdr:sp macro="" textlink="">
        <xdr:nvSpPr>
          <xdr:cNvPr id="200" name="txt_Etapa" descr="SOMASES é o mesmo que a SOMASE, mas permite usar vários critérios. Portanto, neste exemplo, você pode procurar por fruta e tipo, em vez de apenas por fruta. Selecione a célula H17 e digite =SOMASES(H3:H14;F3:F14;F17;G3:G14;G17). SOMASES é estruturado da seguinte maneira:&#10;&#10;&#10;">
            <a:extLst>
              <a:ext uri="{FF2B5EF4-FFF2-40B4-BE49-F238E27FC236}">
                <a16:creationId xmlns:a16="http://schemas.microsoft.com/office/drawing/2014/main" id="{4F912E6F-F743-47DF-85DF-3039C56B3212}"/>
              </a:ext>
            </a:extLst>
          </xdr:cNvPr>
          <xdr:cNvSpPr txBox="1"/>
        </xdr:nvSpPr>
        <xdr:spPr>
          <a:xfrm>
            <a:off x="991382" y="4652057"/>
            <a:ext cx="4809744" cy="1129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SOMASE, mas permite que você use vários critérios. Portanto, neste exemplo você pode procurar Frutas e Tipo, ao invés de apenas por Fruta. Selecione a célula H17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Etapa"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118</xdr:row>
      <xdr:rowOff>0</xdr:rowOff>
    </xdr:from>
    <xdr:to>
      <xdr:col>1</xdr:col>
      <xdr:colOff>5238749</xdr:colOff>
      <xdr:row>138</xdr:row>
      <xdr:rowOff>47625</xdr:rowOff>
    </xdr:to>
    <xdr:grpSp>
      <xdr:nvGrpSpPr>
        <xdr:cNvPr id="202" name="Mais sobre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3088600"/>
          <a:ext cx="5724525" cy="3895725"/>
          <a:chOff x="347872" y="13364013"/>
          <a:chExt cx="5695950" cy="3895725"/>
        </a:xfrm>
      </xdr:grpSpPr>
      <xdr:sp macro="" textlink="">
        <xdr:nvSpPr>
          <xdr:cNvPr id="203" name="Retângulo 202" descr="Plano de fundo">
            <a:extLst>
              <a:ext uri="{FF2B5EF4-FFF2-40B4-BE49-F238E27FC236}">
                <a16:creationId xmlns:a16="http://schemas.microsoft.com/office/drawing/2014/main" id="{511D36F9-540E-473D-938B-915FC423BB65}"/>
              </a:ext>
            </a:extLst>
          </xdr:cNvPr>
          <xdr:cNvSpPr/>
        </xdr:nvSpPr>
        <xdr:spPr>
          <a:xfrm>
            <a:off x="347872" y="13364013"/>
            <a:ext cx="5695950" cy="38957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ctor reto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ctor reto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003933"/>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Etapa" descr="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Etapa" descr="Este é um exemplo de como a função SOMASE usa &quot;maior que&quot; para encontrar todos os valores maiores que um determinado valor:&#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um exemplo de como a função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usa "maior que"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encontrar todos os valores maiores que um determinado valor:</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Etapa" descr="OBSERVAÇÃO: se você achar que está usando muitas fórmulas SOMASE, talvez considere uma Tabela Dinâmica a melhor solução. Clique para ver o artigo da Tabela dinâmica na Web para saber mais&#10;">
            <a:hlinkClick xmlns:r="http://schemas.openxmlformats.org/officeDocument/2006/relationships" r:id="rId17" tooltip="Selecionar para ir para a planilha de Tabela Dinâmica"/>
            <a:extLst>
              <a:ext uri="{FF2B5EF4-FFF2-40B4-BE49-F238E27FC236}">
                <a16:creationId xmlns:a16="http://schemas.microsoft.com/office/drawing/2014/main" id="{34FB80A3-CAA8-4879-81AA-6C9C6DA04FF8}"/>
              </a:ext>
            </a:extLst>
          </xdr:cNvPr>
          <xdr:cNvSpPr txBox="1"/>
        </xdr:nvSpPr>
        <xdr:spPr>
          <a:xfrm>
            <a:off x="553342" y="16198821"/>
            <a:ext cx="5303780" cy="727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OBSERVAÇÃO: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você achar</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usando muitas fórmulas SOMASE, talvez considere uma Tabela Dinâmica como a melhor solução. </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 Dinâmica para saber mais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 de texto 100" descr="=SOMASE(D118:D122;&quot;&gt;=50&quot;)&#10;&#10;&#10;">
            <a:extLst>
              <a:ext uri="{FF2B5EF4-FFF2-40B4-BE49-F238E27FC236}">
                <a16:creationId xmlns:a16="http://schemas.microsoft.com/office/drawing/2014/main" id="{081FEA47-A154-4881-BA88-6F77A1DA2820}"/>
              </a:ext>
            </a:extLst>
          </xdr:cNvPr>
          <xdr:cNvSpPr txBox="1"/>
        </xdr:nvSpPr>
        <xdr:spPr>
          <a:xfrm>
            <a:off x="575234" y="15754051"/>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effectLst/>
                <a:latin typeface="Courier New" panose="02070309020205020404" pitchFamily="49" charset="0"/>
                <a:ea typeface="Times New Roman" panose="02020603050405020304" pitchFamily="18" charset="0"/>
                <a:cs typeface="Courier New" panose="02070309020205020404" pitchFamily="49" charset="0"/>
              </a:rPr>
              <a:t>=</a:t>
            </a:r>
            <a:r>
              <a:rPr lang="pt-br"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br"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 esquerda 209">
            <a:extLst>
              <a:ext uri="{FF2B5EF4-FFF2-40B4-BE49-F238E27FC236}">
                <a16:creationId xmlns:a16="http://schemas.microsoft.com/office/drawing/2014/main" id="{D4198EE4-6DA5-4995-A5C3-297510D75CBC}"/>
              </a:ext>
            </a:extLst>
          </xdr:cNvPr>
          <xdr:cNvSpPr/>
        </xdr:nvSpPr>
        <xdr:spPr>
          <a:xfrm rot="5400000">
            <a:off x="1109920" y="15149154"/>
            <a:ext cx="197659" cy="94052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25669"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 esquerda 211">
            <a:extLst>
              <a:ext uri="{FF2B5EF4-FFF2-40B4-BE49-F238E27FC236}">
                <a16:creationId xmlns:a16="http://schemas.microsoft.com/office/drawing/2014/main" id="{1F715516-41DD-4007-B4E1-F5219D7F5E3F}"/>
              </a:ext>
            </a:extLst>
          </xdr:cNvPr>
          <xdr:cNvSpPr/>
        </xdr:nvSpPr>
        <xdr:spPr>
          <a:xfrm rot="5400000">
            <a:off x="2327387"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915514"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Examine estas células...</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 esquerda 213">
            <a:extLst>
              <a:ext uri="{FF2B5EF4-FFF2-40B4-BE49-F238E27FC236}">
                <a16:creationId xmlns:a16="http://schemas.microsoft.com/office/drawing/2014/main" id="{DDE8A4F2-7D99-42CD-BA7B-3FD932A6B224}"/>
              </a:ext>
            </a:extLst>
          </xdr:cNvPr>
          <xdr:cNvSpPr/>
        </xdr:nvSpPr>
        <xdr:spPr>
          <a:xfrm rot="5400000">
            <a:off x="3603614" y="15133878"/>
            <a:ext cx="271590" cy="884765"/>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215092" y="14671077"/>
            <a:ext cx="101479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se o valor for maior que 50, some-o.</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25</xdr:row>
      <xdr:rowOff>142875</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196001" y="3964967"/>
          <a:ext cx="3967549" cy="1511908"/>
          <a:chOff x="9434126" y="7174892"/>
          <a:chExt cx="4148524" cy="1511908"/>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467426"/>
            <a:chOff x="10339001" y="7219374"/>
            <a:chExt cx="4148524" cy="1467426"/>
          </a:xfrm>
        </xdr:grpSpPr>
        <xdr:grpSp>
          <xdr:nvGrpSpPr>
            <xdr:cNvPr id="219" name="DICA ESPECIALIZADA" descr="DICA ESPECIALIZADA">
              <a:extLst>
                <a:ext uri="{FF2B5EF4-FFF2-40B4-BE49-F238E27FC236}">
                  <a16:creationId xmlns:a16="http://schemas.microsoft.com/office/drawing/2014/main" id="{80AEA6E2-8705-424F-9170-D839A6C17C4E}"/>
                </a:ext>
              </a:extLst>
            </xdr:cNvPr>
            <xdr:cNvGrpSpPr/>
          </xdr:nvGrpSpPr>
          <xdr:grpSpPr>
            <a:xfrm>
              <a:off x="11734800" y="7219950"/>
              <a:ext cx="2752725" cy="1466850"/>
              <a:chOff x="8448675" y="2143125"/>
              <a:chExt cx="2419160" cy="1457899"/>
            </a:xfrm>
          </xdr:grpSpPr>
          <xdr:pic>
            <xdr:nvPicPr>
              <xdr:cNvPr id="221" name="Elemento 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Etapa"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45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Cada uma das células de Frutas e Tipo tem uma lista suspensa, em que é possível selecionar diferentes frutas. Experimente e observe as fórmulas atualizarem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28575</xdr:colOff>
      <xdr:row>12</xdr:row>
      <xdr:rowOff>104775</xdr:rowOff>
    </xdr:from>
    <xdr:to>
      <xdr:col>1</xdr:col>
      <xdr:colOff>4943475</xdr:colOff>
      <xdr:row>22</xdr:row>
      <xdr:rowOff>123825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876300" y="2962275"/>
          <a:ext cx="4914900" cy="1924050"/>
          <a:chOff x="2876550" y="4524375"/>
          <a:chExt cx="49149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287655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ChaveDeFórmulaPosterio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eFórmulaSuperior" descr="Qual intervalo você deseja examin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353049" y="4524375"/>
            <a:ext cx="2438401" cy="861229"/>
            <a:chOff x="5353049" y="4524375"/>
            <a:chExt cx="2438401" cy="861229"/>
          </a:xfrm>
        </xdr:grpSpPr>
        <xdr:sp macro="" textlink="">
          <xdr:nvSpPr>
            <xdr:cNvPr id="230" name="ChaveDeFórmulaPosterior">
              <a:extLst>
                <a:ext uri="{FF2B5EF4-FFF2-40B4-BE49-F238E27FC236}">
                  <a16:creationId xmlns:a16="http://schemas.microsoft.com/office/drawing/2014/main" id="{0F30C154-2F1F-4A51-9F6F-727C94B1953E}"/>
                </a:ext>
              </a:extLst>
            </xdr:cNvPr>
            <xdr:cNvSpPr/>
          </xdr:nvSpPr>
          <xdr:spPr>
            <a:xfrm rot="5400000">
              <a:off x="6024544" y="4633933"/>
              <a:ext cx="499277" cy="100406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eFórmulaSuperior" descr="Para cada correspondência encontrada, a qual intervalo você deseja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243840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qual intervalo você deseja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ChaveDeFórmulaAnterio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eFórmulaInferior" descr="Que valor (texto ou número) você deseja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371475</xdr:colOff>
      <xdr:row>29</xdr:row>
      <xdr:rowOff>152400</xdr:rowOff>
    </xdr:from>
    <xdr:to>
      <xdr:col>1</xdr:col>
      <xdr:colOff>5200650</xdr:colOff>
      <xdr:row>41</xdr:row>
      <xdr:rowOff>180975</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71475" y="6248400"/>
          <a:ext cx="5676900" cy="2314575"/>
          <a:chOff x="3048000" y="2575829"/>
          <a:chExt cx="5801562" cy="2366747"/>
        </a:xfrm>
      </xdr:grpSpPr>
      <xdr:sp macro="" textlink="">
        <xdr:nvSpPr>
          <xdr:cNvPr id="235" name="ChaveDeFórmulaAnterior">
            <a:extLst>
              <a:ext uri="{FF2B5EF4-FFF2-40B4-BE49-F238E27FC236}">
                <a16:creationId xmlns:a16="http://schemas.microsoft.com/office/drawing/2014/main" id="{453E28FE-C60F-4575-A21E-10394924F1B6}"/>
              </a:ext>
            </a:extLst>
          </xdr:cNvPr>
          <xdr:cNvSpPr/>
        </xdr:nvSpPr>
        <xdr:spPr>
          <a:xfrm rot="16200000">
            <a:off x="7373020"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DeFórmulaAnterior">
            <a:extLst>
              <a:ext uri="{FF2B5EF4-FFF2-40B4-BE49-F238E27FC236}">
                <a16:creationId xmlns:a16="http://schemas.microsoft.com/office/drawing/2014/main" id="{B085E19B-EB18-43E6-AB6C-14F6D2AFA1F7}"/>
              </a:ext>
            </a:extLst>
          </xdr:cNvPr>
          <xdr:cNvSpPr/>
        </xdr:nvSpPr>
        <xdr:spPr>
          <a:xfrm rot="16200000">
            <a:off x="567821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DeFórmulaPosterior">
            <a:extLst>
              <a:ext uri="{FF2B5EF4-FFF2-40B4-BE49-F238E27FC236}">
                <a16:creationId xmlns:a16="http://schemas.microsoft.com/office/drawing/2014/main" id="{603AD5F7-68AF-446A-BFE6-540AB775EE0B}"/>
              </a:ext>
            </a:extLst>
          </xdr:cNvPr>
          <xdr:cNvSpPr/>
        </xdr:nvSpPr>
        <xdr:spPr>
          <a:xfrm rot="5400000">
            <a:off x="8202968"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DeFórmulaPosterior">
            <a:extLst>
              <a:ext uri="{FF2B5EF4-FFF2-40B4-BE49-F238E27FC236}">
                <a16:creationId xmlns:a16="http://schemas.microsoft.com/office/drawing/2014/main" id="{7F46ED5B-D0A5-48EA-9808-55AA0B5DCFB6}"/>
              </a:ext>
            </a:extLst>
          </xdr:cNvPr>
          <xdr:cNvSpPr/>
        </xdr:nvSpPr>
        <xdr:spPr>
          <a:xfrm rot="5400000">
            <a:off x="6517044" y="3154765"/>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DeFórmulaPosterior">
            <a:extLst>
              <a:ext uri="{FF2B5EF4-FFF2-40B4-BE49-F238E27FC236}">
                <a16:creationId xmlns:a16="http://schemas.microsoft.com/office/drawing/2014/main" id="{2B008E04-D970-4F41-8120-26A572840D06}"/>
              </a:ext>
            </a:extLst>
          </xdr:cNvPr>
          <xdr:cNvSpPr/>
        </xdr:nvSpPr>
        <xdr:spPr>
          <a:xfrm rot="5400000">
            <a:off x="4612044"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801562"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2000" spc="-30" baseline="0">
              <a:effectLst/>
              <a:latin typeface="Courier New" panose="02070309020205020404" pitchFamily="49" charset="0"/>
              <a:ea typeface="Times New Roman" panose="02020603050405020304" pitchFamily="18" charset="0"/>
            </a:endParaRPr>
          </a:p>
        </xdr:txBody>
      </xdr:sp>
      <xdr:sp macro="" textlink="">
        <xdr:nvSpPr>
          <xdr:cNvPr id="241" name="txt_BalãoDeFórmulaSuperior" descr="Qual intervalo você deseja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326456" y="2575829"/>
            <a:ext cx="107045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somar?</a:t>
            </a:r>
          </a:p>
        </xdr:txBody>
      </xdr:sp>
      <xdr:sp macro="" textlink="">
        <xdr:nvSpPr>
          <xdr:cNvPr id="242" name="txt_BalãoDe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5840143" y="2575829"/>
            <a:ext cx="142477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e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369969" y="2575829"/>
            <a:ext cx="1423194"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eFórmulaInferior" descr="Este é o primeiro intervalo a ser examinado po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4939323"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ser examinado por correspondências</a:t>
            </a:r>
          </a:p>
        </xdr:txBody>
      </xdr:sp>
      <xdr:sp macro="" textlink="">
        <xdr:nvSpPr>
          <xdr:cNvPr id="245" name="txt_BalãoDeFórmulaInferior" descr="Este é o segundo intervalo a ser examinado po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6771052"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segundo intervalo a ser examinado por correspondências</a:t>
            </a:r>
          </a:p>
        </xdr:txBody>
      </xdr:sp>
    </xdr:grpSp>
    <xdr:clientData/>
  </xdr:twoCellAnchor>
  <xdr:twoCellAnchor>
    <xdr:from>
      <xdr:col>0</xdr:col>
      <xdr:colOff>581025</xdr:colOff>
      <xdr:row>43</xdr:row>
      <xdr:rowOff>142875</xdr:rowOff>
    </xdr:from>
    <xdr:to>
      <xdr:col>1</xdr:col>
      <xdr:colOff>2456367</xdr:colOff>
      <xdr:row>46</xdr:row>
      <xdr:rowOff>102299</xdr:rowOff>
    </xdr:to>
    <xdr:sp macro="" textlink="">
      <xdr:nvSpPr>
        <xdr:cNvPr id="246" name="Botão Mais detalhes" descr="Veja mais detalhes abaixo">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9058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361950</xdr:colOff>
      <xdr:row>93</xdr:row>
      <xdr:rowOff>152400</xdr:rowOff>
    </xdr:from>
    <xdr:to>
      <xdr:col>1</xdr:col>
      <xdr:colOff>5248275</xdr:colOff>
      <xdr:row>117</xdr:row>
      <xdr:rowOff>122151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61950" y="18478500"/>
          <a:ext cx="5734050" cy="4541751"/>
          <a:chOff x="171450" y="17059274"/>
          <a:chExt cx="5734050" cy="4352925"/>
        </a:xfrm>
      </xdr:grpSpPr>
      <xdr:sp macro="" textlink="">
        <xdr:nvSpPr>
          <xdr:cNvPr id="248" name="txt_PlanoDeFundoDoTour" descr="Plano de 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oTour"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DoTour1"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DoTour2"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oTour"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Você já viu as funções SOMASE, SOMASES, CONT.SE e CONT. SES. Agora você pode experimentar outras funções, como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 	=CONT.SE(C92:C103;C106)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CONT.SES 	=CONT.SES(C92:C103;C106;D92:D103;D106)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114</xdr:row>
      <xdr:rowOff>180975</xdr:rowOff>
    </xdr:from>
    <xdr:to>
      <xdr:col>1</xdr:col>
      <xdr:colOff>4950281</xdr:colOff>
      <xdr:row>116</xdr:row>
      <xdr:rowOff>135424</xdr:rowOff>
    </xdr:to>
    <xdr:sp macro="" textlink="">
      <xdr:nvSpPr>
        <xdr:cNvPr id="254"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9817BA26-3F9D-4337-96B5-9647A836BC8B}"/>
            </a:ext>
          </a:extLst>
        </xdr:cNvPr>
        <xdr:cNvSpPr/>
      </xdr:nvSpPr>
      <xdr:spPr>
        <a:xfrm>
          <a:off x="4522836" y="225075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361950</xdr:colOff>
      <xdr:row>48</xdr:row>
      <xdr:rowOff>0</xdr:rowOff>
    </xdr:from>
    <xdr:to>
      <xdr:col>1</xdr:col>
      <xdr:colOff>5248275</xdr:colOff>
      <xdr:row>93</xdr:row>
      <xdr:rowOff>38099</xdr:rowOff>
    </xdr:to>
    <xdr:sp macro="" textlink="">
      <xdr:nvSpPr>
        <xdr:cNvPr id="255" name="Plano de fundo" descr="Plano de fundo">
          <a:extLst>
            <a:ext uri="{FF2B5EF4-FFF2-40B4-BE49-F238E27FC236}">
              <a16:creationId xmlns:a16="http://schemas.microsoft.com/office/drawing/2014/main" id="{59826756-6574-4AD7-87F3-D5BE531411BB}"/>
            </a:ext>
          </a:extLst>
        </xdr:cNvPr>
        <xdr:cNvSpPr/>
      </xdr:nvSpPr>
      <xdr:spPr>
        <a:xfrm>
          <a:off x="361950" y="9715500"/>
          <a:ext cx="5734050" cy="86486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95250</xdr:rowOff>
    </xdr:from>
    <xdr:to>
      <xdr:col>1</xdr:col>
      <xdr:colOff>4948224</xdr:colOff>
      <xdr:row>51</xdr:row>
      <xdr:rowOff>95250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38225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95250</xdr:rowOff>
    </xdr:from>
    <xdr:to>
      <xdr:col>1</xdr:col>
      <xdr:colOff>4951420</xdr:colOff>
      <xdr:row>51</xdr:row>
      <xdr:rowOff>9592</xdr:rowOff>
    </xdr:to>
    <xdr:sp macro="" textlink="">
      <xdr:nvSpPr>
        <xdr:cNvPr id="257" name="Etapa" descr="Funções condicionais: CONT.SE&#10;">
          <a:extLst>
            <a:ext uri="{FF2B5EF4-FFF2-40B4-BE49-F238E27FC236}">
              <a16:creationId xmlns:a16="http://schemas.microsoft.com/office/drawing/2014/main" id="{4F5A7CA7-2EE0-4987-96BE-26C1F64A94A4}"/>
            </a:ext>
          </a:extLst>
        </xdr:cNvPr>
        <xdr:cNvSpPr txBox="1"/>
      </xdr:nvSpPr>
      <xdr:spPr>
        <a:xfrm>
          <a:off x="547701" y="98107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CONT.SE</a:t>
          </a:r>
        </a:p>
      </xdr:txBody>
    </xdr:sp>
    <xdr:clientData/>
  </xdr:twoCellAnchor>
  <xdr:twoCellAnchor editAs="absolute">
    <xdr:from>
      <xdr:col>0</xdr:col>
      <xdr:colOff>547701</xdr:colOff>
      <xdr:row>88</xdr:row>
      <xdr:rowOff>106892</xdr:rowOff>
    </xdr:from>
    <xdr:to>
      <xdr:col>1</xdr:col>
      <xdr:colOff>4948224</xdr:colOff>
      <xdr:row>88</xdr:row>
      <xdr:rowOff>106892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4804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95250</xdr:rowOff>
    </xdr:from>
    <xdr:to>
      <xdr:col>1</xdr:col>
      <xdr:colOff>5015188</xdr:colOff>
      <xdr:row>55</xdr:row>
      <xdr:rowOff>142875</xdr:rowOff>
    </xdr:to>
    <xdr:sp macro="" textlink="">
      <xdr:nvSpPr>
        <xdr:cNvPr id="259" name="Introdução à adição de números" descr="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10;&#10;">
          <a:extLst>
            <a:ext uri="{FF2B5EF4-FFF2-40B4-BE49-F238E27FC236}">
              <a16:creationId xmlns:a16="http://schemas.microsoft.com/office/drawing/2014/main" id="{FD69C356-A3A0-4ACC-9509-4D5AB4574A46}"/>
            </a:ext>
          </a:extLst>
        </xdr:cNvPr>
        <xdr:cNvSpPr txBox="1"/>
      </xdr:nvSpPr>
      <xdr:spPr>
        <a:xfrm>
          <a:off x="561975" y="103822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kern="1200">
              <a:solidFill>
                <a:schemeClr val="tx1">
                  <a:lumMod val="75000"/>
                  <a:lumOff val="25000"/>
                </a:schemeClr>
              </a:solidFill>
              <a:latin typeface="Segoe UI" panose="020B0502040204020203" pitchFamily="34" charset="0"/>
              <a:ea typeface="+mn-ea"/>
              <a:cs typeface="Segoe UI" panose="020B0502040204020203" pitchFamily="34" charset="0"/>
            </a:rPr>
            <a:t>CONT.SE</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 e</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br"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CONT.SES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possibilitam contar valores em um intervalo com base em critérios que você especifica. Elas </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são um pouco diferentes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outras funções SE e SES, já que possuem apenas um intervalo de critérios e critérios. Elas não avaliam um intervalo e procuram em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19050</xdr:rowOff>
    </xdr:from>
    <xdr:to>
      <xdr:col>1</xdr:col>
      <xdr:colOff>4943876</xdr:colOff>
      <xdr:row>59</xdr:row>
      <xdr:rowOff>43757</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258550"/>
          <a:ext cx="5220101" cy="596207"/>
          <a:chOff x="609600" y="10820400"/>
          <a:chExt cx="5220101" cy="596207"/>
        </a:xfrm>
      </xdr:grpSpPr>
      <xdr:sp macro="" textlink="">
        <xdr:nvSpPr>
          <xdr:cNvPr id="261" name="txt_Etapa" descr="Selecione a célula D64 e digite =CONT.SE(C50:C61;C64). CONT.SE é estruturado da seguinte manei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=CONT.SE(C50:C61;C64)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estruturada assim:</a:t>
            </a:r>
          </a:p>
        </xdr:txBody>
      </xdr:sp>
      <xdr:sp macro="" textlink="">
        <xdr:nvSpPr>
          <xdr:cNvPr id="262" name="shp_Etapa"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89</xdr:row>
      <xdr:rowOff>97366</xdr:rowOff>
    </xdr:from>
    <xdr:to>
      <xdr:col>1</xdr:col>
      <xdr:colOff>4878004</xdr:colOff>
      <xdr:row>91</xdr:row>
      <xdr:rowOff>64440</xdr:rowOff>
    </xdr:to>
    <xdr:sp macro="" textlink="">
      <xdr:nvSpPr>
        <xdr:cNvPr id="263"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D6D142FA-1F43-4673-883C-435BE4A5BB46}"/>
            </a:ext>
          </a:extLst>
        </xdr:cNvPr>
        <xdr:cNvSpPr/>
      </xdr:nvSpPr>
      <xdr:spPr>
        <a:xfrm>
          <a:off x="4581526" y="176614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571500</xdr:colOff>
      <xdr:row>70</xdr:row>
      <xdr:rowOff>28575</xdr:rowOff>
    </xdr:from>
    <xdr:to>
      <xdr:col>1</xdr:col>
      <xdr:colOff>4943876</xdr:colOff>
      <xdr:row>73</xdr:row>
      <xdr:rowOff>53282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973175"/>
          <a:ext cx="5220101" cy="596207"/>
          <a:chOff x="609600" y="13230225"/>
          <a:chExt cx="5220101" cy="596207"/>
        </a:xfrm>
      </xdr:grpSpPr>
      <xdr:sp macro="" textlink="">
        <xdr:nvSpPr>
          <xdr:cNvPr id="265" name="txt_Etapa" descr="CONT.SES é o mesmo que a SOMASE, mas permite usar vários critérios. Portanto, neste exemplo, você pode procurar por fruta e tipo, em vez de apenas por fruta. Selecione a célula H64 e digite =CONT.SES(F50:F61;F64;G50:G61;G64). CONT.SES é estruturado da seguinte manei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CONT.SE, mas permite que você use vários critérios. Portanto, neste exemplo você pode procurar Frutas e Tipo, ao invés de apenas por Fruta. Selecione a célula H64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=CONT.SES(F50:F61;F64;G50:G61;G64)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Etapa"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4162425</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38225" y="11972925"/>
          <a:ext cx="3971925" cy="1962150"/>
          <a:chOff x="3048000" y="4524375"/>
          <a:chExt cx="3971925" cy="1924050"/>
        </a:xfrm>
      </xdr:grpSpPr>
      <xdr:sp macro="" textlink="">
        <xdr:nvSpPr>
          <xdr:cNvPr id="268" name="txt_Fórmula" descr="=CONT.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ChaveDeFórmulaPosterio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eFórmulaSuperior" descr="Qual intervalo você deseja examinar?&#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ChaveDeFórmulaAnterio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eFórmulaInferior" descr="Que valor (texto ou número) você deseja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619125</xdr:colOff>
      <xdr:row>76</xdr:row>
      <xdr:rowOff>104755</xdr:rowOff>
    </xdr:from>
    <xdr:to>
      <xdr:col>1</xdr:col>
      <xdr:colOff>5199625</xdr:colOff>
      <xdr:row>87</xdr:row>
      <xdr:rowOff>85725</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19125" y="15192355"/>
          <a:ext cx="5428225" cy="2076470"/>
          <a:chOff x="638175" y="14144607"/>
          <a:chExt cx="5399498" cy="2107124"/>
        </a:xfrm>
      </xdr:grpSpPr>
      <xdr:sp macro="" textlink="">
        <xdr:nvSpPr>
          <xdr:cNvPr id="276" name="ChaveDeFórmulaAnterio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DeFórmulaAnterio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DeFórmulaPosterio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DeFórmulaPosterio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=CONT.SES(F50:F61;F64;G50:G61;G64)</a:t>
            </a:r>
            <a:endParaRPr lang="en-US" sz="2000">
              <a:effectLst/>
              <a:latin typeface="Courier New" panose="02070309020205020404" pitchFamily="49" charset="0"/>
              <a:ea typeface="Times New Roman" panose="02020603050405020304" pitchFamily="18" charset="0"/>
            </a:endParaRPr>
          </a:p>
        </xdr:txBody>
      </xdr:sp>
      <xdr:sp macro="" textlink="">
        <xdr:nvSpPr>
          <xdr:cNvPr id="281" name="txt_BalãoDe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049684" y="14144607"/>
            <a:ext cx="122241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e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e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917242" y="15615070"/>
            <a:ext cx="140655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eFórmulaInferior" descr="Estes são os critérios para 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636453" y="15615072"/>
            <a:ext cx="140122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para 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89</xdr:row>
      <xdr:rowOff>57150</xdr:rowOff>
    </xdr:from>
    <xdr:to>
      <xdr:col>1</xdr:col>
      <xdr:colOff>2446842</xdr:colOff>
      <xdr:row>92</xdr:row>
      <xdr:rowOff>16574</xdr:rowOff>
    </xdr:to>
    <xdr:sp macro="" textlink="">
      <xdr:nvSpPr>
        <xdr:cNvPr id="285" name="Botão Mais detalhes" descr="Veja mais detalhes abaixo">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6212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619125</xdr:colOff>
      <xdr:row>114</xdr:row>
      <xdr:rowOff>142875</xdr:rowOff>
    </xdr:from>
    <xdr:to>
      <xdr:col>1</xdr:col>
      <xdr:colOff>2494467</xdr:colOff>
      <xdr:row>117</xdr:row>
      <xdr:rowOff>102299</xdr:rowOff>
    </xdr:to>
    <xdr:sp macro="" textlink="">
      <xdr:nvSpPr>
        <xdr:cNvPr id="131" name="Botão Mais detalhes" descr="Veja mais detalhes abaixo">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4694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VEJA ISTO" descr="VEJA ISTO&#10;&#10;">
          <a:extLst>
            <a:ext uri="{FF2B5EF4-FFF2-40B4-BE49-F238E27FC236}">
              <a16:creationId xmlns:a16="http://schemas.microsoft.com/office/drawing/2014/main" id="{16122225-CAAD-44E9-BB30-7B1C9C3D2195}"/>
            </a:ext>
          </a:extLst>
        </xdr:cNvPr>
        <xdr:cNvGrpSpPr/>
      </xdr:nvGrpSpPr>
      <xdr:grpSpPr>
        <a:xfrm>
          <a:off x="6972300" y="2505075"/>
          <a:ext cx="2476500" cy="1716628"/>
          <a:chOff x="7830674" y="7686975"/>
          <a:chExt cx="2476379" cy="1716628"/>
        </a:xfrm>
      </xdr:grpSpPr>
      <xdr:grpSp>
        <xdr:nvGrpSpPr>
          <xdr:cNvPr id="77" name="Linha de colchete">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olchete" descr="Linha de colchet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olchete" descr="Linha de colchet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Você deve ficar com a fórmula </a:t>
            </a:r>
            <a:r>
              <a:rPr lang="pt-br"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239000"/>
          <a:ext cx="5733288" cy="266700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Etapa"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ctor reto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ctor reto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8008069"/>
          <a:ext cx="2866594" cy="359079"/>
          <a:chOff x="562406" y="11008444"/>
          <a:chExt cx="2866594" cy="359079"/>
        </a:xfrm>
      </xdr:grpSpPr>
      <xdr:sp macro="" textlink="">
        <xdr:nvSpPr>
          <xdr:cNvPr id="87" name="Etapa" descr="Tudo sobre a função SE, com um hiperlink para a Web&#10;&#10;">
            <a:hlinkClick xmlns:r="http://schemas.openxmlformats.org/officeDocument/2006/relationships" r:id="rId3" tooltip="Selecione para aprender tudo sobre as fórmulas do Excel na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Visão geral</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 fórmulas do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Elemento gráfico 22" descr="Seta">
            <a:hlinkClick xmlns:r="http://schemas.openxmlformats.org/officeDocument/2006/relationships" r:id="rId3" tooltip="Selecione para saber mai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383135"/>
          <a:ext cx="2895169" cy="364389"/>
          <a:chOff x="562406" y="11383510"/>
          <a:chExt cx="2895169" cy="364389"/>
        </a:xfrm>
      </xdr:grpSpPr>
      <xdr:sp macro="" textlink="">
        <xdr:nvSpPr>
          <xdr:cNvPr id="89" name="Etapa" descr="Tudo sobre a função SES, com um hiperlink para a Web&#10;">
            <a:hlinkClick xmlns:r="http://schemas.openxmlformats.org/officeDocument/2006/relationships" r:id="rId6" tooltip="Selecione para ver todas as funções do Excel por categoria na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3028950</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9176053"/>
          <a:ext cx="3333319" cy="364389"/>
          <a:chOff x="562406" y="12176428"/>
          <a:chExt cx="3333319" cy="364389"/>
        </a:xfrm>
      </xdr:grpSpPr>
      <xdr:sp macro="" textlink="">
        <xdr:nvSpPr>
          <xdr:cNvPr id="91" name="Etapa" descr="Treinamento gratuito do Excel online, com um hiperlink para a Web&#10;">
            <a:hlinkClick xmlns:r="http://schemas.openxmlformats.org/officeDocument/2006/relationships" r:id="rId7" tooltip="Selecione para aprender sobre o treinamento de Excel online e gratuito na Web"/>
            <a:extLst>
              <a:ext uri="{FF2B5EF4-FFF2-40B4-BE49-F238E27FC236}">
                <a16:creationId xmlns:a16="http://schemas.microsoft.com/office/drawing/2014/main" id="{19A3D044-BB8D-41AF-8364-CFED7743E9E8}"/>
              </a:ext>
            </a:extLst>
          </xdr:cNvPr>
          <xdr:cNvSpPr txBox="1"/>
        </xdr:nvSpPr>
        <xdr:spPr>
          <a:xfrm>
            <a:off x="1040199" y="12227532"/>
            <a:ext cx="28555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2"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3324224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763511"/>
          <a:ext cx="3628593" cy="364389"/>
          <a:chOff x="562406" y="11763886"/>
          <a:chExt cx="3628593" cy="364389"/>
        </a:xfrm>
      </xdr:grpSpPr>
      <xdr:sp macro="" textlink="">
        <xdr:nvSpPr>
          <xdr:cNvPr id="93" name="Etapa" descr="Instruções SE avançadas, com um hiperlink para Web&#10;">
            <a:hlinkClick xmlns:r="http://schemas.openxmlformats.org/officeDocument/2006/relationships" r:id="rId8" tooltip="Selecione para ver todas as funções do Excel em ordem alfabética na Web"/>
            <a:extLst>
              <a:ext uri="{FF2B5EF4-FFF2-40B4-BE49-F238E27FC236}">
                <a16:creationId xmlns:a16="http://schemas.microsoft.com/office/drawing/2014/main" id="{0C9EBEA8-904F-4B13-9D34-42D4C435F750}"/>
              </a:ext>
            </a:extLst>
          </xdr:cNvPr>
          <xdr:cNvSpPr txBox="1"/>
        </xdr:nvSpPr>
        <xdr:spPr>
          <a:xfrm>
            <a:off x="1027590" y="11832161"/>
            <a:ext cx="31634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(em ordem alfabética)</a:t>
            </a:r>
          </a:p>
        </xdr:txBody>
      </xdr:sp>
      <xdr:pic>
        <xdr:nvPicPr>
          <xdr:cNvPr id="94"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PlanoDeFundoDoTour" descr="Plano de 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5048250</xdr:colOff>
      <xdr:row>2</xdr:row>
      <xdr:rowOff>15411</xdr:rowOff>
    </xdr:to>
    <xdr:sp macro="" textlink="">
      <xdr:nvSpPr>
        <xdr:cNvPr id="63" name="txt_CabeçalhoDoTour" descr="Permitir que o Assistente de Função o oriente">
          <a:extLst>
            <a:ext uri="{FF2B5EF4-FFF2-40B4-BE49-F238E27FC236}">
              <a16:creationId xmlns:a16="http://schemas.microsoft.com/office/drawing/2014/main" id="{83AD9D65-6832-4C8D-9DD3-D366BF3EAA96}"/>
            </a:ext>
          </a:extLst>
        </xdr:cNvPr>
        <xdr:cNvSpPr txBox="1"/>
      </xdr:nvSpPr>
      <xdr:spPr>
        <a:xfrm>
          <a:off x="567653" y="490010"/>
          <a:ext cx="5347372"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Permitir que o Assistente de Função o oriente</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DoTour1"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DoTour2"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oTour" descr="Se souber o nome da função desejada, mas não estiver certo sobre como criá-la, você pode usar o Assistente de função para ajudá-lo.">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souber o nome da função desejada, mas não estiver certo sobre como criá-la, você pode usar o Assistente de função para ajudá-lo.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57140</xdr:rowOff>
    </xdr:from>
    <xdr:to>
      <xdr:col>1</xdr:col>
      <xdr:colOff>4943475</xdr:colOff>
      <xdr:row>10</xdr:row>
      <xdr:rowOff>19052</xdr:rowOff>
    </xdr:to>
    <xdr:grpSp>
      <xdr:nvGrpSpPr>
        <xdr:cNvPr id="67" name="grp_Etapa">
          <a:extLst>
            <a:ext uri="{FF2B5EF4-FFF2-40B4-BE49-F238E27FC236}">
              <a16:creationId xmlns:a16="http://schemas.microsoft.com/office/drawing/2014/main" id="{BD77C92C-5C36-46AE-A637-B10B8A476780}"/>
            </a:ext>
          </a:extLst>
        </xdr:cNvPr>
        <xdr:cNvGrpSpPr/>
      </xdr:nvGrpSpPr>
      <xdr:grpSpPr>
        <a:xfrm>
          <a:off x="576262" y="1581140"/>
          <a:ext cx="5233988" cy="933462"/>
          <a:chOff x="647700" y="7419974"/>
          <a:chExt cx="5326256" cy="893481"/>
        </a:xfrm>
      </xdr:grpSpPr>
      <xdr:sp macro="" textlink="">
        <xdr:nvSpPr>
          <xdr:cNvPr id="68" name="txt_Etapa" descr="Selecione a célula D16 e vá para Fórmulas &gt; Inserir função &gt; digite PROCV na caixa Procure por uma função e pressione IR. Quando vir PROCV realçada, clique em OK na parte inferior. Ao selecionar uma função na lista, o Excel exibe su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acesse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digite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Procure por uma função</a:t>
            </a:r>
            <a:r>
              <a:rPr lang="pt-br"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br"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 </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pressione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br" sz="1100">
                <a:solidFill>
                  <a:schemeClr val="tx1">
                    <a:lumMod val="75000"/>
                    <a:lumOff val="25000"/>
                  </a:schemeClr>
                </a:solidFill>
                <a:latin typeface="Segoe UI" panose="020B0502040204020203" pitchFamily="34" charset="0"/>
                <a:cs typeface="Segoe UI" panose="020B0502040204020203" pitchFamily="34" charset="0"/>
              </a:rPr>
              <a:t> Ao selecionar uma função na </a:t>
            </a:r>
            <a:r>
              <a:rPr lang="pt-br" sz="1100" baseline="0">
                <a:solidFill>
                  <a:schemeClr val="tx1">
                    <a:lumMod val="75000"/>
                    <a:lumOff val="25000"/>
                  </a:schemeClr>
                </a:solidFill>
                <a:latin typeface="Segoe UI" panose="020B0502040204020203" pitchFamily="34" charset="0"/>
                <a:cs typeface="Segoe UI" panose="020B0502040204020203" pitchFamily="34" charset="0"/>
              </a:rPr>
              <a:t>lista, o Excel exibe sua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1">
            <a:extLst>
              <a:ext uri="{FF2B5EF4-FFF2-40B4-BE49-F238E27FC236}">
                <a16:creationId xmlns:a16="http://schemas.microsoft.com/office/drawing/2014/main" id="{215648BB-0134-4C42-A6F9-AC13CE6B572C}"/>
              </a:ext>
            </a:extLst>
          </xdr:cNvPr>
          <xdr:cNvSpPr/>
        </xdr:nvSpPr>
        <xdr:spPr>
          <a:xfrm>
            <a:off x="647700" y="7419974"/>
            <a:ext cx="381000" cy="3583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Etapa">
          <a:extLst>
            <a:ext uri="{FF2B5EF4-FFF2-40B4-BE49-F238E27FC236}">
              <a16:creationId xmlns:a16="http://schemas.microsoft.com/office/drawing/2014/main" id="{BF405A0F-7FA6-4E62-A4D2-D48FD5B37F21}"/>
            </a:ext>
          </a:extLst>
        </xdr:cNvPr>
        <xdr:cNvGrpSpPr/>
      </xdr:nvGrpSpPr>
      <xdr:grpSpPr>
        <a:xfrm>
          <a:off x="576262" y="2576512"/>
          <a:ext cx="5195887" cy="890586"/>
          <a:chOff x="609600" y="7810500"/>
          <a:chExt cx="5186234" cy="876582"/>
        </a:xfrm>
      </xdr:grpSpPr>
      <xdr:sp macro="" textlink="">
        <xdr:nvSpPr>
          <xdr:cNvPr id="72" name="txt_Etapa"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insira os argumentos da função em suas respectivas caixas de texto. Enquanto você digita cada um deles, o Excel os avalia e exibe o resultado, com o resultado final na parte inferior.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insere 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Etapa"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BotãoAnterior" descr="Retornar para a planilha anterior">
          <a:hlinkClick xmlns:r="http://schemas.openxmlformats.org/officeDocument/2006/relationships" r:id="rId9" tooltip="Clique aqui para voltar à plani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BotãoAvançar" descr="Avançar para a próxima planilha">
          <a:hlinkClick xmlns:r="http://schemas.openxmlformats.org/officeDocument/2006/relationships" r:id="rId10" tooltip="Clique aqui para ir para a próxima planilha"/>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oneCell">
    <xdr:from>
      <xdr:col>1</xdr:col>
      <xdr:colOff>228600</xdr:colOff>
      <xdr:row>15</xdr:row>
      <xdr:rowOff>125113</xdr:rowOff>
    </xdr:from>
    <xdr:to>
      <xdr:col>1</xdr:col>
      <xdr:colOff>4857750</xdr:colOff>
      <xdr:row>29</xdr:row>
      <xdr:rowOff>9979</xdr:rowOff>
    </xdr:to>
    <xdr:pic>
      <xdr:nvPicPr>
        <xdr:cNvPr id="7" name="Imagem 6" descr="Caixa de diálogo Argumentos da função PROCV">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3582688"/>
          <a:ext cx="4629150" cy="2551866"/>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É BOM SABER" descr="É BOM SABER&#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Elemento 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Etapa"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digitar as referências de célula e intervalo ou selecioná-las com o mouse.</a:t>
                </a:r>
                <a:endParaRPr lang="en-US" sz="1100">
                  <a:effectLst/>
                  <a:latin typeface="+mn-lt"/>
                </a:endParaRPr>
              </a:p>
            </xdr:txBody>
          </xdr:sp>
        </xdr:grpSp>
        <xdr:cxnSp macro="">
          <xdr:nvCxnSpPr>
            <xdr:cNvPr id="98" name="Conector: curv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É BOM SABER" descr="É BOM SABER&#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Elemento 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Etapa"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Enquanto você digita a seção de cada argumento, a descrição do argumento é exibida na parte inferior do formulário, acima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342900</xdr:colOff>
      <xdr:row>0</xdr:row>
      <xdr:rowOff>361949</xdr:rowOff>
    </xdr:from>
    <xdr:to>
      <xdr:col>1</xdr:col>
      <xdr:colOff>5210175</xdr:colOff>
      <xdr:row>52</xdr:row>
      <xdr:rowOff>66674</xdr:rowOff>
    </xdr:to>
    <xdr:sp macro="" textlink="">
      <xdr:nvSpPr>
        <xdr:cNvPr id="49" name="txt_PlanoDeFundoDoTour" descr="Plano de fundo">
          <a:extLst>
            <a:ext uri="{FF2B5EF4-FFF2-40B4-BE49-F238E27FC236}">
              <a16:creationId xmlns:a16="http://schemas.microsoft.com/office/drawing/2014/main" id="{82635223-B159-4E05-9CEC-2A2F6DF969F2}"/>
            </a:ext>
          </a:extLst>
        </xdr:cNvPr>
        <xdr:cNvSpPr/>
      </xdr:nvSpPr>
      <xdr:spPr>
        <a:xfrm>
          <a:off x="342900" y="361949"/>
          <a:ext cx="5734050" cy="102584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CabeçalhoDoTour" descr="Corrigir erros de fórmula">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de fórmula</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LinhaDoTour1"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48</xdr:row>
      <xdr:rowOff>87841</xdr:rowOff>
    </xdr:from>
    <xdr:to>
      <xdr:col>1</xdr:col>
      <xdr:colOff>4946626</xdr:colOff>
      <xdr:row>48</xdr:row>
      <xdr:rowOff>87841</xdr:rowOff>
    </xdr:to>
    <xdr:cxnSp macro="">
      <xdr:nvCxnSpPr>
        <xdr:cNvPr id="52" name="txt_LinhaDoTour2" descr="Linha decorativa">
          <a:extLst>
            <a:ext uri="{FF2B5EF4-FFF2-40B4-BE49-F238E27FC236}">
              <a16:creationId xmlns:a16="http://schemas.microsoft.com/office/drawing/2014/main" id="{B4EB5A39-3087-404B-86D1-9EB6F9D1ABB3}"/>
            </a:ext>
          </a:extLst>
        </xdr:cNvPr>
        <xdr:cNvCxnSpPr>
          <a:cxnSpLocks/>
        </xdr:cNvCxnSpPr>
      </xdr:nvCxnSpPr>
      <xdr:spPr>
        <a:xfrm>
          <a:off x="565153" y="98795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IntroduçãoDoTour" descr="Em algum momento você se deparará com uma fórmula que apresenta um erro, e o Excel exibirá #NomeDoErro!. Erros podem ser úteis, porque apontam quando algo não está funcionando corretamente, mas pode ser um desafio corrigir. Felizmente, há várias opções que podem ajudar a descobrir a origem do erro e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5039317</xdr:colOff>
      <xdr:row>12</xdr:row>
      <xdr:rowOff>85725</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6924" y="1924050"/>
          <a:ext cx="5239168" cy="1057275"/>
          <a:chOff x="571500" y="1924050"/>
          <a:chExt cx="5229626" cy="1057275"/>
        </a:xfrm>
      </xdr:grpSpPr>
      <xdr:sp macro="" textlink="">
        <xdr:nvSpPr>
          <xdr:cNvPr id="55" name="txt_Etapa" descr="Verificação de erros: Vá para fórmulas &gt; verificação de erros. Isso carregará uma caixa de diálogo que informa a causa geral para o erro específico. Na célula D9, o erro #N/D ocorre porque não há nenhum valor que corresponde a &quot;Maçã&quot;. Você pode corrigir esse problema usando um valor que existe, suprimir o erro com SEERRO ou ignorá-lo e saber que ele desaparecerá quando você usar um valor que existe.">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Isso carregará uma caixa de diálogo que informa a causa geral para o erro específico. Na célula D9, o erro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ocorre porque não há nenhum valor que corresponde a "Maçã". Você pode corrigir esse problema usando um valor que existe, suprimir o erro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en"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ou ignorá-lo e saber que ele desaparecerá quando você usar um valor que existe.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Etapa"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848020</xdr:colOff>
      <xdr:row>14</xdr:row>
      <xdr:rowOff>5726</xdr:rowOff>
    </xdr:from>
    <xdr:to>
      <xdr:col>1</xdr:col>
      <xdr:colOff>4733245</xdr:colOff>
      <xdr:row>24</xdr:row>
      <xdr:rowOff>5126</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0" y="3282326"/>
          <a:ext cx="4752000" cy="1904400"/>
        </a:xfrm>
        <a:prstGeom prst="rect">
          <a:avLst/>
        </a:prstGeom>
      </xdr:spPr>
    </xdr:pic>
    <xdr:clientData/>
  </xdr:twoCellAnchor>
  <xdr:twoCellAnchor editAs="absolute">
    <xdr:from>
      <xdr:col>0</xdr:col>
      <xdr:colOff>666924</xdr:colOff>
      <xdr:row>24</xdr:row>
      <xdr:rowOff>42863</xdr:rowOff>
    </xdr:from>
    <xdr:to>
      <xdr:col>1</xdr:col>
      <xdr:colOff>5039317</xdr:colOff>
      <xdr:row>27</xdr:row>
      <xdr:rowOff>180975</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6924" y="5224463"/>
          <a:ext cx="5239168" cy="709612"/>
          <a:chOff x="571500" y="4957763"/>
          <a:chExt cx="5229626" cy="709612"/>
        </a:xfrm>
      </xdr:grpSpPr>
      <xdr:sp macro="" textlink="">
        <xdr:nvSpPr>
          <xdr:cNvPr id="59" name="txt_Etapa" descr="Se você clicar em Ajuda sobre este Erro, um tópico da Ajuda relacionado especificamente à mensagem de erro será exibido. Se você clicar em Mostrar etapas de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sobre este 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tópico da Ajuda relacionado especificamente à mensagem de erro será exibido. 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etapas de cálculo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Etapa"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29</xdr:row>
      <xdr:rowOff>57150</xdr:rowOff>
    </xdr:from>
    <xdr:to>
      <xdr:col>1</xdr:col>
      <xdr:colOff>4800293</xdr:colOff>
      <xdr:row>42</xdr:row>
      <xdr:rowOff>171121</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191250"/>
          <a:ext cx="4914286" cy="2628571"/>
        </a:xfrm>
        <a:prstGeom prst="rect">
          <a:avLst/>
        </a:prstGeom>
      </xdr:spPr>
    </xdr:pic>
    <xdr:clientData/>
  </xdr:twoCellAnchor>
  <xdr:twoCellAnchor editAs="absolute">
    <xdr:from>
      <xdr:col>0</xdr:col>
      <xdr:colOff>666924</xdr:colOff>
      <xdr:row>43</xdr:row>
      <xdr:rowOff>57150</xdr:rowOff>
    </xdr:from>
    <xdr:to>
      <xdr:col>1</xdr:col>
      <xdr:colOff>5039317</xdr:colOff>
      <xdr:row>47</xdr:row>
      <xdr:rowOff>142875</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6924" y="8896350"/>
          <a:ext cx="5239168" cy="847725"/>
          <a:chOff x="571500" y="8372475"/>
          <a:chExt cx="5229626" cy="847725"/>
        </a:xfrm>
      </xdr:grpSpPr>
      <xdr:sp macro="" textlink="">
        <xdr:nvSpPr>
          <xdr:cNvPr id="63" name="txt_Etapa" descr="Sempre que você clica em Avaliar, o Excel o orienta pela fórmula, uma seção por vez. Ele não vai necessariamente dizer por quê o erro ocorre, mas apontará onde está o erro.">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Sempre que você clica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o orienta pela fórmula, uma seção por vez. Ele não vai necessariamente dizer por quê o erro ocorre, mas apontará onde está o erro. A partir daí, veja o tópico da Ajuda para deduzir o que deu errado na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Etapa"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49</xdr:row>
      <xdr:rowOff>57150</xdr:rowOff>
    </xdr:from>
    <xdr:to>
      <xdr:col>1</xdr:col>
      <xdr:colOff>998947</xdr:colOff>
      <xdr:row>51</xdr:row>
      <xdr:rowOff>11599</xdr:rowOff>
    </xdr:to>
    <xdr:sp macro="" textlink="">
      <xdr:nvSpPr>
        <xdr:cNvPr id="65"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59901CBF-662C-46B7-9798-9856B1E5ACCE}"/>
            </a:ext>
          </a:extLst>
        </xdr:cNvPr>
        <xdr:cNvSpPr/>
      </xdr:nvSpPr>
      <xdr:spPr>
        <a:xfrm flipH="1">
          <a:off x="590550"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3669834</xdr:colOff>
      <xdr:row>49</xdr:row>
      <xdr:rowOff>57150</xdr:rowOff>
    </xdr:from>
    <xdr:to>
      <xdr:col>1</xdr:col>
      <xdr:colOff>4945006</xdr:colOff>
      <xdr:row>51</xdr:row>
      <xdr:rowOff>11599</xdr:rowOff>
    </xdr:to>
    <xdr:sp macro="" textlink="">
      <xdr:nvSpPr>
        <xdr:cNvPr id="66"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A1974C03-9104-44F6-9B95-FBB22D17937B}"/>
            </a:ext>
          </a:extLst>
        </xdr:cNvPr>
        <xdr:cNvSpPr/>
      </xdr:nvSpPr>
      <xdr:spPr>
        <a:xfrm>
          <a:off x="4536609"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267575" y="7534275"/>
          <a:ext cx="2941107" cy="1161191"/>
          <a:chOff x="6375400" y="12710331"/>
          <a:chExt cx="3768724" cy="1161191"/>
        </a:xfrm>
      </xdr:grpSpPr>
      <xdr:sp macro="" textlink="">
        <xdr:nvSpPr>
          <xdr:cNvPr id="68" name="Etapa"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O que</a:t>
            </a:r>
            <a:r>
              <a:rPr lang="pt-br" sz="1100" kern="0" baseline="0">
                <a:solidFill>
                  <a:schemeClr val="bg2">
                    <a:lumMod val="25000"/>
                  </a:schemeClr>
                </a:solidFill>
                <a:latin typeface="+mn-lt"/>
                <a:ea typeface="Segoe UI" pitchFamily="34" charset="0"/>
                <a:cs typeface="Segoe UI Light" panose="020B0502040204020203" pitchFamily="34" charset="0"/>
              </a:rPr>
              <a:t> há de errado aqui? Dica: estamos tentando fazer a </a:t>
            </a:r>
            <a:r>
              <a:rPr lang="pt-br" sz="1100" b="1" kern="0" baseline="0">
                <a:solidFill>
                  <a:schemeClr val="bg2">
                    <a:lumMod val="25000"/>
                  </a:schemeClr>
                </a:solidFill>
                <a:latin typeface="+mn-lt"/>
                <a:ea typeface="Segoe UI" pitchFamily="34" charset="0"/>
                <a:cs typeface="Segoe UI Light" panose="020B0502040204020203" pitchFamily="34" charset="0"/>
              </a:rPr>
              <a:t>SOMA</a:t>
            </a:r>
            <a:r>
              <a:rPr lang="pt-br" sz="1100" kern="0" baseline="0">
                <a:solidFill>
                  <a:schemeClr val="bg2">
                    <a:lumMod val="25000"/>
                  </a:schemeClr>
                </a:solidFill>
                <a:latin typeface="+mn-lt"/>
                <a:ea typeface="Segoe UI" pitchFamily="34" charset="0"/>
                <a:cs typeface="Segoe UI Light" panose="020B0502040204020203" pitchFamily="34" charset="0"/>
              </a:rPr>
              <a:t> de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olchet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olchet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áfico 96" descr="Frasco">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47625</xdr:colOff>
      <xdr:row>22</xdr:row>
      <xdr:rowOff>166414</xdr:rowOff>
    </xdr:from>
    <xdr:to>
      <xdr:col>5</xdr:col>
      <xdr:colOff>171450</xdr:colOff>
      <xdr:row>28</xdr:row>
      <xdr:rowOff>104774</xdr:rowOff>
    </xdr:to>
    <xdr:grpSp>
      <xdr:nvGrpSpPr>
        <xdr:cNvPr id="74" name="É BOM SABER" descr="É BOM SABER&#10;&#10;">
          <a:extLst>
            <a:ext uri="{FF2B5EF4-FFF2-40B4-BE49-F238E27FC236}">
              <a16:creationId xmlns:a16="http://schemas.microsoft.com/office/drawing/2014/main" id="{31BEE91F-7C0C-4732-BB35-0C8B019C6B03}"/>
            </a:ext>
          </a:extLst>
        </xdr:cNvPr>
        <xdr:cNvGrpSpPr/>
      </xdr:nvGrpSpPr>
      <xdr:grpSpPr>
        <a:xfrm>
          <a:off x="6438900" y="4967014"/>
          <a:ext cx="2505075" cy="1081360"/>
          <a:chOff x="6778625" y="15619706"/>
          <a:chExt cx="2584778" cy="1038659"/>
        </a:xfrm>
      </xdr:grpSpPr>
      <xdr:sp macro="" textlink="">
        <xdr:nvSpPr>
          <xdr:cNvPr id="75" name="Etapa"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992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tx1">
                    <a:lumMod val="75000"/>
                    <a:lumOff val="25000"/>
                  </a:schemeClr>
                </a:solidFill>
                <a:effectLst/>
                <a:latin typeface="+mn-lt"/>
                <a:ea typeface="+mn-ea"/>
                <a:cs typeface="+mn-cs"/>
              </a:rPr>
              <a:t>Ao clicar em </a:t>
            </a:r>
            <a:r>
              <a:rPr lang="pt-br" sz="1100" b="1" i="0" kern="1200" baseline="0">
                <a:solidFill>
                  <a:schemeClr val="tx1">
                    <a:lumMod val="75000"/>
                    <a:lumOff val="25000"/>
                  </a:schemeClr>
                </a:solidFill>
                <a:effectLst/>
                <a:latin typeface="+mn-lt"/>
                <a:ea typeface="+mn-ea"/>
                <a:cs typeface="+mn-cs"/>
              </a:rPr>
              <a:t>Opções</a:t>
            </a:r>
            <a:r>
              <a:rPr lang="pt-br" sz="1100" b="0" i="0" kern="1200" baseline="0">
                <a:solidFill>
                  <a:schemeClr val="tx1">
                    <a:lumMod val="75000"/>
                    <a:lumOff val="25000"/>
                  </a:schemeClr>
                </a:solidFill>
                <a:effectLst/>
                <a:latin typeface="+mn-lt"/>
                <a:ea typeface="+mn-ea"/>
                <a:cs typeface="+mn-cs"/>
              </a:rPr>
              <a:t>, é possível definir as regras para quando os erros no Excel são exibidos ou ignorados.</a:t>
            </a:r>
            <a:endParaRPr lang="en-US" sz="1100">
              <a:solidFill>
                <a:schemeClr val="tx1">
                  <a:lumMod val="75000"/>
                  <a:lumOff val="25000"/>
                </a:schemeClr>
              </a:solidFill>
              <a:effectLst/>
              <a:latin typeface="+mn-lt"/>
            </a:endParaRPr>
          </a:p>
        </xdr:txBody>
      </xdr:sp>
      <xdr:pic>
        <xdr:nvPicPr>
          <xdr:cNvPr id="76" name="Elemento 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933453</xdr:colOff>
      <xdr:row>23</xdr:row>
      <xdr:rowOff>2</xdr:rowOff>
    </xdr:from>
    <xdr:to>
      <xdr:col>1</xdr:col>
      <xdr:colOff>5457826</xdr:colOff>
      <xdr:row>23</xdr:row>
      <xdr:rowOff>171450</xdr:rowOff>
    </xdr:to>
    <xdr:cxnSp macro="">
      <xdr:nvCxnSpPr>
        <xdr:cNvPr id="77" name="Conector: curvo 76">
          <a:extLst>
            <a:ext uri="{FF2B5EF4-FFF2-40B4-BE49-F238E27FC236}">
              <a16:creationId xmlns:a16="http://schemas.microsoft.com/office/drawing/2014/main" id="{16767E7F-5A94-4A53-A7E2-81A5EF1897C0}"/>
            </a:ext>
          </a:extLst>
        </xdr:cNvPr>
        <xdr:cNvCxnSpPr/>
      </xdr:nvCxnSpPr>
      <xdr:spPr>
        <a:xfrm rot="10800000">
          <a:off x="1800228" y="4991102"/>
          <a:ext cx="4524373" cy="171448"/>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52</xdr:row>
      <xdr:rowOff>152400</xdr:rowOff>
    </xdr:from>
    <xdr:to>
      <xdr:col>1</xdr:col>
      <xdr:colOff>5209413</xdr:colOff>
      <xdr:row>66</xdr:row>
      <xdr:rowOff>85725</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706100"/>
          <a:ext cx="5733288" cy="2600325"/>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Etapa"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ctor reto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ctor reto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56</xdr:row>
      <xdr:rowOff>140419</xdr:rowOff>
    </xdr:from>
    <xdr:to>
      <xdr:col>1</xdr:col>
      <xdr:colOff>2552700</xdr:colOff>
      <xdr:row>58</xdr:row>
      <xdr:rowOff>118498</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52881" y="11456119"/>
          <a:ext cx="2866594" cy="359079"/>
          <a:chOff x="552881" y="10532194"/>
          <a:chExt cx="2866594" cy="359079"/>
        </a:xfrm>
      </xdr:grpSpPr>
      <xdr:sp macro="" textlink="">
        <xdr:nvSpPr>
          <xdr:cNvPr id="84" name="Etapa" descr="Tudo sobre a função SE, com um hiperlink para a Web&#10;&#10;">
            <a:hlinkClick xmlns:r="http://schemas.openxmlformats.org/officeDocument/2006/relationships" r:id="rId9" tooltip="Selecione para aprender tudo sobre como detectar erros em fórmulas na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Detectar erros em fórmulas</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58</xdr:row>
      <xdr:rowOff>134485</xdr:rowOff>
    </xdr:from>
    <xdr:to>
      <xdr:col>1</xdr:col>
      <xdr:colOff>2581275</xdr:colOff>
      <xdr:row>60</xdr:row>
      <xdr:rowOff>117874</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52881" y="11831185"/>
          <a:ext cx="2895169" cy="364389"/>
          <a:chOff x="552881" y="10907260"/>
          <a:chExt cx="2895169" cy="364389"/>
        </a:xfrm>
      </xdr:grpSpPr>
      <xdr:sp macro="" textlink="">
        <xdr:nvSpPr>
          <xdr:cNvPr id="87" name="Etapa" descr="Tudo sobre a função SES, com um hiperlink para a Web&#10;">
            <a:hlinkClick xmlns:r="http://schemas.openxmlformats.org/officeDocument/2006/relationships" r:id="rId12" tooltip="Selecione para aprender tudo sobre como evitar fórmulas quebradas na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62</xdr:row>
      <xdr:rowOff>165403</xdr:rowOff>
    </xdr:from>
    <xdr:to>
      <xdr:col>1</xdr:col>
      <xdr:colOff>3352800</xdr:colOff>
      <xdr:row>64</xdr:row>
      <xdr:rowOff>148792</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52881" y="12624103"/>
          <a:ext cx="3666694" cy="364389"/>
          <a:chOff x="552881" y="11700178"/>
          <a:chExt cx="3666694" cy="364389"/>
        </a:xfrm>
      </xdr:grpSpPr>
      <xdr:sp macro="" textlink="">
        <xdr:nvSpPr>
          <xdr:cNvPr id="90" name="Etapa" descr="Treinamento gratuito do Excel online, com um hiperlink para a Web&#10;">
            <a:hlinkClick xmlns:r="http://schemas.openxmlformats.org/officeDocument/2006/relationships" r:id="rId13" tooltip="Selecione para aprender sobre o treinamento de Excel online e gratuito na Web"/>
            <a:extLst>
              <a:ext uri="{FF2B5EF4-FFF2-40B4-BE49-F238E27FC236}">
                <a16:creationId xmlns:a16="http://schemas.microsoft.com/office/drawing/2014/main" id="{83AC531D-CB18-4A4A-92F0-122C8840F418}"/>
              </a:ext>
            </a:extLst>
          </xdr:cNvPr>
          <xdr:cNvSpPr txBox="1"/>
        </xdr:nvSpPr>
        <xdr:spPr>
          <a:xfrm>
            <a:off x="1030674" y="11751282"/>
            <a:ext cx="31889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1"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60</xdr:row>
      <xdr:rowOff>133861</xdr:rowOff>
    </xdr:from>
    <xdr:to>
      <xdr:col>1</xdr:col>
      <xdr:colOff>3486149</xdr:colOff>
      <xdr:row>62</xdr:row>
      <xdr:rowOff>117250</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52881" y="12211561"/>
          <a:ext cx="3800043" cy="364389"/>
          <a:chOff x="552881" y="11287636"/>
          <a:chExt cx="3800043" cy="364389"/>
        </a:xfrm>
      </xdr:grpSpPr>
      <xdr:sp macro="" textlink="">
        <xdr:nvSpPr>
          <xdr:cNvPr id="93" name="Etapa" descr="Instruções SE avançadas, com um hiperlink para Web&#10;">
            <a:hlinkClick xmlns:r="http://schemas.openxmlformats.org/officeDocument/2006/relationships" r:id="rId14" tooltip="Selecione para aprender tudo sobre como avaliar fórmulas aninhadas, uma etapa por vez, na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Avalie</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uma etapa por vez</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20" dataDxfId="19">
  <autoFilter ref="Z2:Z6" xr:uid="{00000000-0009-0000-0100-000001000000}"/>
  <tableColumns count="1">
    <tableColumn id="1" xr3:uid="{00000000-0010-0000-0000-000001000000}" name="Fruta" dataDxfId="18" dataCellStyle="Célula cinz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TipoDeFruta" displayName="tbl_TipoDeFruta" ref="AB2:AB4" totalsRowShown="0" headerRowDxfId="17" dataDxfId="16">
  <autoFilter ref="AB2:AB4" xr:uid="{00000000-0009-0000-0100-000002000000}"/>
  <tableColumns count="1">
    <tableColumn id="1" xr3:uid="{00000000-0010-0000-0100-000001000000}" name="Maçãs" dataDxfId="15" dataCellStyle="Célula cinz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TipoDeFruta4" displayName="tbl_TipoDeFruta4" ref="AD2:AD4" totalsRowShown="0" headerRowDxfId="14" dataDxfId="13">
  <autoFilter ref="AD2:AD4" xr:uid="{00000000-0009-0000-0100-000003000000}"/>
  <tableColumns count="1">
    <tableColumn id="1" xr3:uid="{00000000-0010-0000-0200-000001000000}" name="Laranjas" dataDxfId="12" dataCellStyle="Célula cinz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TipoDeFruta5" displayName="tbl_TipoDeFruta5" ref="AH2:AH4" totalsRowShown="0" headerRowDxfId="11" dataDxfId="10">
  <autoFilter ref="AH2:AH4" xr:uid="{00000000-0009-0000-0100-000004000000}"/>
  <tableColumns count="1">
    <tableColumn id="1" xr3:uid="{00000000-0010-0000-0300-000001000000}" name="Limões" dataDxfId="9" dataCellStyle="Célula cinz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TipoDeFruta6" displayName="tbl_TipoDeFruta6" ref="AF2:AF4" totalsRowShown="0" headerRowDxfId="8" dataDxfId="7">
  <autoFilter ref="AF2:AF4" xr:uid="{00000000-0009-0000-0100-000005000000}"/>
  <tableColumns count="1">
    <tableColumn id="1" xr3:uid="{00000000-0010-0000-0400-000001000000}" name="Bananas" dataDxfId="6" dataCellStyle="Célula cinza"/>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2.bin"/><Relationship Id="rId1" Type="http://schemas.openxmlformats.org/officeDocument/2006/relationships/hyperlink" Target="https://support.office.com/en-us/article/IF-function-69AED7C9-4E8A-4755-A9BC-AA8BBFF73BE2"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14.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A3" sqref="A3"/>
    </sheetView>
  </sheetViews>
  <sheetFormatPr defaultColWidth="11.140625" defaultRowHeight="20.25" customHeight="1" x14ac:dyDescent="0.25"/>
  <cols>
    <col min="1" max="1" width="129.7109375" style="1" customWidth="1"/>
    <col min="2" max="2" width="3.5703125" style="1" customWidth="1"/>
    <col min="3" max="16384" width="11.140625" style="1"/>
  </cols>
  <sheetData>
    <row r="1" spans="1:1" ht="20.25" customHeight="1" x14ac:dyDescent="1.25">
      <c r="A1" s="52"/>
    </row>
    <row r="2" spans="1:1" ht="102" customHeight="1" x14ac:dyDescent="1">
      <c r="A2" s="83" t="s">
        <v>241</v>
      </c>
    </row>
    <row r="3" spans="1:1" ht="22.5" x14ac:dyDescent="0.35">
      <c r="A3" s="2"/>
    </row>
    <row r="4" spans="1:1" ht="264" customHeight="1" x14ac:dyDescent="0.25">
      <c r="A4" s="3" t="s">
        <v>0</v>
      </c>
    </row>
    <row r="5" spans="1:1" ht="20.25" customHeight="1" x14ac:dyDescent="0.35">
      <c r="A5" s="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EBC8-0AD0-4427-9716-BEF8F656BCA9}">
  <dimension ref="A1:J46"/>
  <sheetViews>
    <sheetView showGridLines="0" zoomScale="175" zoomScaleNormal="175" workbookViewId="0">
      <selection activeCell="G8" sqref="G8"/>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s="57"/>
      <c r="G1" s="57"/>
      <c r="H1" s="32"/>
      <c r="I1" s="32"/>
      <c r="J1" s="32"/>
    </row>
    <row r="2" spans="1:10" ht="15" customHeight="1" x14ac:dyDescent="0.25">
      <c r="A2" s="25" t="s">
        <v>28</v>
      </c>
      <c r="B2" s="32"/>
      <c r="C2" s="7" t="s">
        <v>9</v>
      </c>
      <c r="D2" s="8" t="s">
        <v>20</v>
      </c>
      <c r="E2" s="34"/>
      <c r="F2" s="11" t="s">
        <v>22</v>
      </c>
      <c r="G2" s="8" t="s">
        <v>20</v>
      </c>
      <c r="H2" s="32"/>
      <c r="I2" s="32"/>
      <c r="J2" s="5"/>
    </row>
    <row r="3" spans="1:10" ht="15" customHeight="1" x14ac:dyDescent="0.25">
      <c r="A3" s="25" t="s">
        <v>29</v>
      </c>
      <c r="B3" s="32"/>
      <c r="C3" s="75" t="s">
        <v>10</v>
      </c>
      <c r="D3" s="74">
        <v>50</v>
      </c>
      <c r="E3" s="34"/>
      <c r="F3" s="75" t="s">
        <v>23</v>
      </c>
      <c r="G3" s="74">
        <v>50</v>
      </c>
      <c r="H3" s="32"/>
      <c r="I3" s="32"/>
      <c r="J3" s="5"/>
    </row>
    <row r="4" spans="1:10" ht="15" customHeight="1" x14ac:dyDescent="0.25">
      <c r="A4" s="25" t="s">
        <v>30</v>
      </c>
      <c r="B4" s="32"/>
      <c r="C4" s="75" t="s">
        <v>11</v>
      </c>
      <c r="D4" s="74">
        <v>20</v>
      </c>
      <c r="E4" s="34"/>
      <c r="F4" s="75" t="s">
        <v>24</v>
      </c>
      <c r="G4" s="74">
        <v>30</v>
      </c>
      <c r="H4" s="32"/>
      <c r="I4" s="32"/>
      <c r="J4" s="5"/>
    </row>
    <row r="5" spans="1:10" s="4" customFormat="1" ht="15" customHeight="1" x14ac:dyDescent="0.25">
      <c r="A5" s="25" t="s">
        <v>31</v>
      </c>
      <c r="B5" s="33"/>
      <c r="C5" s="75" t="s">
        <v>12</v>
      </c>
      <c r="D5" s="74">
        <v>60</v>
      </c>
      <c r="E5" s="34"/>
      <c r="F5" s="75" t="s">
        <v>25</v>
      </c>
      <c r="G5" s="74">
        <v>10</v>
      </c>
      <c r="H5" s="33"/>
      <c r="I5" s="33"/>
      <c r="J5" s="5"/>
    </row>
    <row r="6" spans="1:10" s="4" customFormat="1" ht="15" customHeight="1" x14ac:dyDescent="0.25">
      <c r="A6" s="25" t="s">
        <v>32</v>
      </c>
      <c r="B6" s="33"/>
      <c r="C6" s="75" t="s">
        <v>13</v>
      </c>
      <c r="D6" s="74">
        <v>40</v>
      </c>
      <c r="E6" s="34"/>
      <c r="F6" s="75" t="s">
        <v>26</v>
      </c>
      <c r="G6" s="74">
        <v>50</v>
      </c>
      <c r="H6" s="33"/>
      <c r="I6" s="33"/>
      <c r="J6" s="5"/>
    </row>
    <row r="7" spans="1:10" s="4" customFormat="1" ht="15" customHeight="1" x14ac:dyDescent="0.25">
      <c r="A7" s="25" t="s">
        <v>33</v>
      </c>
      <c r="B7" s="33"/>
      <c r="C7" s="10" t="s">
        <v>242</v>
      </c>
      <c r="D7" s="72">
        <f>SUM(D3:D6)</f>
        <v>170</v>
      </c>
      <c r="E7" s="34"/>
      <c r="F7" s="10" t="s">
        <v>242</v>
      </c>
      <c r="G7" s="72">
        <f>SUM(G3,G5:G6)</f>
        <v>110</v>
      </c>
      <c r="H7" s="33"/>
      <c r="I7" s="33"/>
      <c r="J7" s="5"/>
    </row>
    <row r="8" spans="1:10" s="4" customFormat="1" ht="15" customHeight="1" x14ac:dyDescent="0.25">
      <c r="A8" s="25" t="s">
        <v>34</v>
      </c>
      <c r="B8" s="33"/>
      <c r="C8" s="33"/>
      <c r="D8" s="34"/>
      <c r="E8" s="34"/>
      <c r="F8" s="33"/>
      <c r="G8" s="34"/>
      <c r="H8" s="33"/>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43"/>
  <sheetViews>
    <sheetView showGridLines="0" zoomScale="130" zoomScaleNormal="130" workbookViewId="0">
      <selection activeCell="H13" sqref="H13"/>
    </sheetView>
  </sheetViews>
  <sheetFormatPr defaultColWidth="8.85546875" defaultRowHeight="15" x14ac:dyDescent="0.25"/>
  <cols>
    <col min="1" max="1" width="7.5703125" style="16" customWidth="1"/>
    <col min="2" max="2" width="2.42578125" style="1" customWidth="1"/>
    <col min="3" max="3" width="21.85546875" style="1" bestFit="1" customWidth="1"/>
    <col min="4" max="4" width="9.85546875" style="4" customWidth="1"/>
    <col min="5" max="5" width="2.28515625" style="1" customWidth="1"/>
    <col min="6" max="7" width="13.28515625" style="1" customWidth="1"/>
    <col min="8" max="16384" width="8.85546875" style="1"/>
  </cols>
  <sheetData>
    <row r="1" spans="1:10" ht="24" customHeight="1" x14ac:dyDescent="0.25">
      <c r="A1" s="16" t="s">
        <v>43</v>
      </c>
      <c r="B1" s="32"/>
      <c r="C1" s="56"/>
      <c r="D1" s="57"/>
      <c r="E1" s="57"/>
      <c r="F1" s="57"/>
      <c r="G1" s="57"/>
      <c r="H1" s="32"/>
    </row>
    <row r="2" spans="1:10" ht="15" customHeight="1" x14ac:dyDescent="0.25">
      <c r="A2" s="14" t="s">
        <v>44</v>
      </c>
      <c r="B2" s="32"/>
      <c r="C2" s="7" t="s">
        <v>9</v>
      </c>
      <c r="D2" s="8" t="s">
        <v>20</v>
      </c>
      <c r="E2" s="34"/>
      <c r="F2" s="11" t="s">
        <v>22</v>
      </c>
      <c r="G2" s="8" t="s">
        <v>20</v>
      </c>
      <c r="H2" s="5"/>
      <c r="J2"/>
    </row>
    <row r="3" spans="1:10" ht="15" customHeight="1" x14ac:dyDescent="0.25">
      <c r="A3" s="14" t="s">
        <v>45</v>
      </c>
      <c r="B3" s="32"/>
      <c r="C3" s="73" t="s">
        <v>10</v>
      </c>
      <c r="D3" s="74">
        <v>10</v>
      </c>
      <c r="E3" s="34"/>
      <c r="F3" s="75" t="s">
        <v>23</v>
      </c>
      <c r="G3" s="74">
        <v>50</v>
      </c>
      <c r="H3" s="5"/>
      <c r="J3"/>
    </row>
    <row r="4" spans="1:10" ht="15" customHeight="1" x14ac:dyDescent="0.25">
      <c r="A4" s="64" t="s">
        <v>46</v>
      </c>
      <c r="B4" s="32"/>
      <c r="C4" s="73" t="s">
        <v>11</v>
      </c>
      <c r="D4" s="74">
        <v>60</v>
      </c>
      <c r="E4" s="34"/>
      <c r="F4" s="75" t="s">
        <v>24</v>
      </c>
      <c r="G4" s="74">
        <v>30</v>
      </c>
      <c r="H4" s="5"/>
      <c r="J4"/>
    </row>
    <row r="5" spans="1:10" s="4" customFormat="1" ht="15" customHeight="1" x14ac:dyDescent="0.25">
      <c r="A5" s="64" t="s">
        <v>238</v>
      </c>
      <c r="B5" s="33"/>
      <c r="C5" s="73" t="s">
        <v>12</v>
      </c>
      <c r="D5" s="74">
        <v>60</v>
      </c>
      <c r="E5" s="34"/>
      <c r="F5" s="75" t="s">
        <v>25</v>
      </c>
      <c r="G5" s="74">
        <v>10</v>
      </c>
      <c r="H5" s="5"/>
      <c r="J5"/>
    </row>
    <row r="6" spans="1:10" s="4" customFormat="1" ht="15" customHeight="1" x14ac:dyDescent="0.25">
      <c r="A6" s="64" t="s">
        <v>47</v>
      </c>
      <c r="B6" s="33"/>
      <c r="C6" s="73" t="s">
        <v>13</v>
      </c>
      <c r="D6" s="74">
        <v>40</v>
      </c>
      <c r="E6" s="34"/>
      <c r="F6" s="75" t="s">
        <v>26</v>
      </c>
      <c r="G6" s="74">
        <v>50</v>
      </c>
      <c r="H6" s="5"/>
      <c r="J6"/>
    </row>
    <row r="7" spans="1:10" s="4" customFormat="1" ht="15" customHeight="1" x14ac:dyDescent="0.25">
      <c r="A7" s="65" t="s">
        <v>48</v>
      </c>
      <c r="B7" s="33"/>
      <c r="C7" s="10" t="s">
        <v>52</v>
      </c>
      <c r="D7" s="72">
        <f>MIN(D3:D6)</f>
        <v>10</v>
      </c>
      <c r="E7" s="34"/>
      <c r="F7" s="10" t="s">
        <v>54</v>
      </c>
      <c r="G7" s="72">
        <f>MAX(G3:G6)</f>
        <v>50</v>
      </c>
      <c r="H7" s="5"/>
      <c r="J7"/>
    </row>
    <row r="8" spans="1:10" s="4" customFormat="1" ht="15" customHeight="1" x14ac:dyDescent="0.25">
      <c r="A8" s="15" t="s">
        <v>49</v>
      </c>
      <c r="B8" s="33"/>
      <c r="C8" s="33"/>
      <c r="D8" s="34"/>
      <c r="E8" s="34"/>
      <c r="F8" s="33"/>
      <c r="G8" s="34"/>
      <c r="H8" s="5"/>
      <c r="J8"/>
    </row>
    <row r="9" spans="1:10" s="4" customFormat="1" ht="15" customHeight="1" x14ac:dyDescent="0.25">
      <c r="A9" s="15" t="s">
        <v>50</v>
      </c>
      <c r="B9" s="33"/>
      <c r="C9" s="7" t="s">
        <v>14</v>
      </c>
      <c r="D9" s="8" t="s">
        <v>20</v>
      </c>
      <c r="E9" s="34"/>
      <c r="F9" s="11" t="s">
        <v>14</v>
      </c>
      <c r="G9" s="8" t="s">
        <v>20</v>
      </c>
      <c r="H9" s="5"/>
    </row>
    <row r="10" spans="1:10" s="4" customFormat="1" ht="15" customHeight="1" x14ac:dyDescent="0.25">
      <c r="A10" s="14" t="s">
        <v>7</v>
      </c>
      <c r="B10" s="33"/>
      <c r="C10" s="73" t="s">
        <v>15</v>
      </c>
      <c r="D10" s="74">
        <v>50</v>
      </c>
      <c r="E10" s="34"/>
      <c r="F10" s="75" t="s">
        <v>15</v>
      </c>
      <c r="G10" s="74">
        <v>50</v>
      </c>
      <c r="H10" s="5"/>
    </row>
    <row r="11" spans="1:10" s="4" customFormat="1" ht="15" customHeight="1" x14ac:dyDescent="0.25">
      <c r="A11" s="65" t="s">
        <v>51</v>
      </c>
      <c r="B11" s="33"/>
      <c r="C11" s="73" t="s">
        <v>16</v>
      </c>
      <c r="D11" s="74">
        <v>100</v>
      </c>
      <c r="E11" s="34"/>
      <c r="F11" s="75" t="s">
        <v>16</v>
      </c>
      <c r="G11" s="74">
        <v>100</v>
      </c>
      <c r="H11" s="5"/>
    </row>
    <row r="12" spans="1:10" s="4" customFormat="1" ht="15" customHeight="1" x14ac:dyDescent="0.25">
      <c r="A12" s="15"/>
      <c r="B12" s="33"/>
      <c r="C12" s="73" t="s">
        <v>17</v>
      </c>
      <c r="D12" s="74">
        <v>40</v>
      </c>
      <c r="E12" s="34"/>
      <c r="F12" s="75" t="s">
        <v>17</v>
      </c>
      <c r="G12" s="74">
        <v>40</v>
      </c>
      <c r="H12" s="5"/>
    </row>
    <row r="13" spans="1:10" s="4" customFormat="1" ht="15" customHeight="1" x14ac:dyDescent="0.25">
      <c r="A13" s="15"/>
      <c r="B13" s="33"/>
      <c r="C13" s="73" t="s">
        <v>18</v>
      </c>
      <c r="D13" s="74">
        <v>50</v>
      </c>
      <c r="E13" s="34"/>
      <c r="F13" s="75" t="s">
        <v>18</v>
      </c>
      <c r="G13" s="74">
        <v>50</v>
      </c>
      <c r="H13" s="5"/>
    </row>
    <row r="14" spans="1:10" s="4" customFormat="1" ht="15" customHeight="1" x14ac:dyDescent="0.25">
      <c r="A14" s="15"/>
      <c r="B14" s="33"/>
      <c r="C14" s="73" t="s">
        <v>19</v>
      </c>
      <c r="D14" s="74">
        <v>20</v>
      </c>
      <c r="E14" s="34"/>
      <c r="F14" s="75" t="s">
        <v>19</v>
      </c>
      <c r="G14" s="74">
        <v>101</v>
      </c>
      <c r="H14" s="33"/>
    </row>
    <row r="15" spans="1:10" s="4" customFormat="1" ht="15" customHeight="1" x14ac:dyDescent="0.25">
      <c r="A15" s="16"/>
      <c r="B15" s="33"/>
      <c r="C15" s="10" t="s">
        <v>53</v>
      </c>
      <c r="D15" s="72">
        <f>MIN(D10:D14)</f>
        <v>20</v>
      </c>
      <c r="E15" s="34"/>
      <c r="F15" s="10"/>
      <c r="G15" s="72">
        <f>MAX(G10:G14)</f>
        <v>101</v>
      </c>
      <c r="H15" s="33"/>
    </row>
    <row r="16" spans="1:10" s="4" customFormat="1" ht="15" customHeight="1" x14ac:dyDescent="0.25">
      <c r="A16" s="16"/>
      <c r="B16" s="33"/>
      <c r="C16" s="33"/>
      <c r="D16" s="33"/>
      <c r="E16" s="33"/>
      <c r="F16" s="33"/>
      <c r="G16" s="33"/>
      <c r="H16" s="33"/>
    </row>
    <row r="17" spans="1:7" s="4" customFormat="1" ht="15" customHeight="1" x14ac:dyDescent="0.25">
      <c r="A17" s="16"/>
    </row>
    <row r="18" spans="1:7" s="4" customFormat="1" ht="15" customHeight="1" x14ac:dyDescent="0.25">
      <c r="A18" s="17"/>
    </row>
    <row r="19" spans="1:7" s="4" customFormat="1" ht="15" customHeight="1" x14ac:dyDescent="0.25">
      <c r="A19" s="16"/>
    </row>
    <row r="20" spans="1:7" s="4" customFormat="1" ht="15" customHeight="1" x14ac:dyDescent="0.25">
      <c r="A20" s="14"/>
    </row>
    <row r="21" spans="1:7" s="4" customFormat="1" ht="15" customHeight="1" x14ac:dyDescent="0.25">
      <c r="A21" s="14"/>
    </row>
    <row r="22" spans="1:7" s="4" customFormat="1" ht="15" customHeight="1" x14ac:dyDescent="0.25">
      <c r="A22" s="14"/>
    </row>
    <row r="23" spans="1:7" s="4" customFormat="1" ht="15" customHeight="1" x14ac:dyDescent="0.25">
      <c r="A23" s="14"/>
    </row>
    <row r="24" spans="1:7" s="4" customFormat="1" ht="15" customHeight="1" x14ac:dyDescent="0.25">
      <c r="A24" s="14"/>
    </row>
    <row r="26" spans="1:7" ht="15" customHeight="1" x14ac:dyDescent="0.25"/>
    <row r="27" spans="1:7" ht="15" customHeight="1" x14ac:dyDescent="0.25"/>
    <row r="28" spans="1:7" ht="15" customHeight="1" x14ac:dyDescent="0.25"/>
    <row r="29" spans="1:7" ht="15" customHeight="1" x14ac:dyDescent="0.25"/>
    <row r="30" spans="1:7" ht="15" customHeight="1" x14ac:dyDescent="0.25"/>
    <row r="31" spans="1:7" ht="15" customHeight="1" x14ac:dyDescent="0.25"/>
    <row r="32" spans="1:7" ht="15" customHeight="1" x14ac:dyDescent="0.25">
      <c r="C32" s="32"/>
      <c r="D32" s="33"/>
      <c r="E32" s="32"/>
      <c r="F32" s="32"/>
      <c r="G32" s="32"/>
    </row>
    <row r="38" spans="3:7" ht="15" customHeight="1" x14ac:dyDescent="0.25">
      <c r="C38" s="32"/>
      <c r="D38" s="33"/>
      <c r="E38" s="32"/>
      <c r="F38" s="32"/>
      <c r="G38" s="32"/>
    </row>
    <row r="39" spans="3:7" ht="15" customHeight="1" x14ac:dyDescent="0.25">
      <c r="C39" s="32"/>
      <c r="D39" s="33"/>
      <c r="E39" s="32"/>
      <c r="F39" s="32"/>
      <c r="G39" s="32"/>
    </row>
    <row r="40" spans="3:7" ht="15" customHeight="1" x14ac:dyDescent="0.25">
      <c r="C40" s="32"/>
      <c r="D40" s="33"/>
      <c r="E40" s="32"/>
      <c r="F40" s="32"/>
      <c r="G40" s="32"/>
    </row>
    <row r="41" spans="3:7" ht="15" customHeight="1" x14ac:dyDescent="0.25">
      <c r="C41" s="32"/>
      <c r="D41" s="33"/>
      <c r="E41" s="32"/>
      <c r="F41" s="32"/>
      <c r="G41" s="32"/>
    </row>
    <row r="42" spans="3:7" ht="15" customHeight="1" x14ac:dyDescent="0.25">
      <c r="C42" s="32"/>
      <c r="D42" s="33"/>
      <c r="E42" s="32"/>
      <c r="F42" s="32"/>
      <c r="G42" s="32"/>
    </row>
    <row r="43" spans="3:7" ht="15" customHeight="1" x14ac:dyDescent="0.25">
      <c r="C43" s="32"/>
      <c r="D43" s="33"/>
      <c r="E43" s="32"/>
      <c r="F43" s="32"/>
      <c r="G43" s="32"/>
    </row>
  </sheetData>
  <conditionalFormatting sqref="C3:D6">
    <cfRule type="expression" dxfId="2" priority="2">
      <formula>$D$7=$D3</formula>
    </cfRule>
  </conditionalFormatting>
  <conditionalFormatting sqref="F3:G6">
    <cfRule type="expression" dxfId="1" priority="1">
      <formula>$G$7=$G3</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7387-83CA-4D79-9A15-BC622039494A}">
  <dimension ref="A1:J46"/>
  <sheetViews>
    <sheetView showGridLines="0" zoomScale="160" zoomScaleNormal="160" workbookViewId="0">
      <selection activeCell="F9" sqref="F9"/>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c r="G1"/>
      <c r="H1"/>
      <c r="I1" s="32"/>
      <c r="J1" s="32"/>
    </row>
    <row r="2" spans="1:10" ht="15" customHeight="1" x14ac:dyDescent="0.25">
      <c r="A2" s="25" t="s">
        <v>28</v>
      </c>
      <c r="B2" s="32"/>
      <c r="C2" s="7" t="s">
        <v>302</v>
      </c>
      <c r="D2" s="8" t="s">
        <v>303</v>
      </c>
      <c r="E2" s="34"/>
      <c r="F2"/>
      <c r="G2"/>
      <c r="H2"/>
      <c r="I2" s="32"/>
      <c r="J2" s="5"/>
    </row>
    <row r="3" spans="1:10" ht="15" customHeight="1" x14ac:dyDescent="0.25">
      <c r="A3" s="25" t="s">
        <v>29</v>
      </c>
      <c r="B3" s="32"/>
      <c r="C3" s="100" t="s">
        <v>275</v>
      </c>
      <c r="D3" s="93">
        <v>3</v>
      </c>
      <c r="E3" s="34"/>
      <c r="F3"/>
      <c r="G3"/>
      <c r="H3"/>
      <c r="I3" s="32"/>
      <c r="J3" s="5"/>
    </row>
    <row r="4" spans="1:10" ht="15" customHeight="1" x14ac:dyDescent="0.25">
      <c r="A4" s="25" t="s">
        <v>30</v>
      </c>
      <c r="B4" s="32"/>
      <c r="C4" s="100" t="s">
        <v>300</v>
      </c>
      <c r="D4" s="93">
        <v>6</v>
      </c>
      <c r="E4" s="34"/>
      <c r="F4"/>
      <c r="G4"/>
      <c r="H4"/>
      <c r="I4" s="32"/>
      <c r="J4" s="5"/>
    </row>
    <row r="5" spans="1:10" s="4" customFormat="1" ht="15" customHeight="1" x14ac:dyDescent="0.25">
      <c r="A5" s="25" t="s">
        <v>31</v>
      </c>
      <c r="B5" s="33"/>
      <c r="C5" s="100" t="s">
        <v>252</v>
      </c>
      <c r="D5" s="93">
        <v>8</v>
      </c>
      <c r="E5" s="34"/>
      <c r="F5"/>
      <c r="G5"/>
      <c r="H5"/>
      <c r="I5" s="33"/>
      <c r="J5" s="5"/>
    </row>
    <row r="6" spans="1:10" s="4" customFormat="1" ht="15" customHeight="1" x14ac:dyDescent="0.25">
      <c r="A6" s="25" t="s">
        <v>32</v>
      </c>
      <c r="B6" s="33"/>
      <c r="C6" s="100" t="s">
        <v>301</v>
      </c>
      <c r="D6" s="93">
        <v>9</v>
      </c>
      <c r="E6" s="34"/>
      <c r="F6"/>
      <c r="G6"/>
      <c r="H6"/>
      <c r="I6" s="33"/>
      <c r="J6" s="5"/>
    </row>
    <row r="7" spans="1:10" s="4" customFormat="1" ht="15" customHeight="1" x14ac:dyDescent="0.25">
      <c r="A7" s="25" t="s">
        <v>33</v>
      </c>
      <c r="B7" s="33"/>
      <c r="C7" s="10" t="s">
        <v>304</v>
      </c>
      <c r="D7" s="114">
        <f>AVERAGE(D3:D6)</f>
        <v>6.5</v>
      </c>
      <c r="E7" s="34"/>
      <c r="F7"/>
      <c r="G7"/>
      <c r="H7"/>
      <c r="I7" s="33"/>
      <c r="J7" s="5"/>
    </row>
    <row r="8" spans="1:10" s="4" customFormat="1" ht="15" customHeight="1" x14ac:dyDescent="0.25">
      <c r="A8" s="25" t="s">
        <v>34</v>
      </c>
      <c r="B8" s="33"/>
      <c r="C8" s="33"/>
      <c r="D8" s="34"/>
      <c r="E8" s="34"/>
      <c r="F8"/>
      <c r="G8"/>
      <c r="H8"/>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460D-3C33-4698-AFBE-2C21609B745E}">
  <dimension ref="A1:J50"/>
  <sheetViews>
    <sheetView showGridLines="0" zoomScale="128" zoomScaleNormal="40" workbookViewId="0">
      <selection activeCell="C2" sqref="C2"/>
    </sheetView>
  </sheetViews>
  <sheetFormatPr defaultColWidth="8.85546875" defaultRowHeight="15" x14ac:dyDescent="0.25"/>
  <cols>
    <col min="1" max="1" width="2.28515625" style="25" customWidth="1"/>
    <col min="2" max="2" width="6" style="1" customWidth="1"/>
    <col min="3" max="3" width="7.85546875" style="9" bestFit="1" customWidth="1"/>
    <col min="4" max="4" width="5.5703125" style="1" bestFit="1" customWidth="1"/>
    <col min="5" max="5" width="13.140625" style="1" bestFit="1" customWidth="1"/>
    <col min="6" max="6" width="14.42578125" style="4" bestFit="1" customWidth="1"/>
    <col min="7" max="7" width="13.140625" style="1" bestFit="1" customWidth="1"/>
    <col min="8" max="8" width="12.140625" style="1" bestFit="1" customWidth="1"/>
    <col min="9" max="9" width="12.85546875" style="1" bestFit="1" customWidth="1"/>
    <col min="10" max="16384" width="8.85546875" style="1"/>
  </cols>
  <sheetData>
    <row r="1" spans="1:10" ht="27.6" customHeight="1" x14ac:dyDescent="0.25">
      <c r="A1" s="25" t="s">
        <v>27</v>
      </c>
      <c r="B1" s="32"/>
      <c r="C1" s="56"/>
      <c r="D1" s="57"/>
      <c r="E1" s="57"/>
      <c r="F1"/>
      <c r="G1"/>
      <c r="H1"/>
      <c r="I1" s="32"/>
      <c r="J1" s="32"/>
    </row>
    <row r="2" spans="1:10" ht="27.6" customHeight="1" x14ac:dyDescent="0.25">
      <c r="B2" s="32"/>
      <c r="C2" s="101" t="str">
        <f>COUNTA(C6:C15)&amp;" PESSOAS COM REGISTRO."</f>
        <v>10 PESSOAS COM REGISTRO.</v>
      </c>
      <c r="D2" s="57"/>
      <c r="E2" s="57"/>
      <c r="F2"/>
      <c r="G2"/>
      <c r="H2"/>
      <c r="I2" s="32"/>
      <c r="J2" s="32"/>
    </row>
    <row r="3" spans="1:10" ht="27.6" customHeight="1" x14ac:dyDescent="0.25">
      <c r="B3" s="32"/>
      <c r="C3" s="101" t="str">
        <f>COUNTBLANK(G6:G15)&amp;" REGISTROS EM BRANCO NO DEPARTAMENTO"</f>
        <v>2 REGISTROS EM BRANCO NO DEPARTAMENTO</v>
      </c>
      <c r="D3" s="57"/>
      <c r="E3" s="57"/>
      <c r="F3"/>
      <c r="G3"/>
      <c r="H3"/>
      <c r="I3" s="32"/>
      <c r="J3" s="32"/>
    </row>
    <row r="4" spans="1:10" ht="27.6" customHeight="1" x14ac:dyDescent="0.25">
      <c r="B4" s="32"/>
      <c r="C4" s="101"/>
      <c r="D4" s="57"/>
      <c r="E4" s="57"/>
      <c r="F4"/>
      <c r="G4"/>
      <c r="H4"/>
      <c r="I4" s="32"/>
      <c r="J4" s="32"/>
    </row>
    <row r="5" spans="1:10" ht="15" customHeight="1" x14ac:dyDescent="0.25">
      <c r="A5" s="25" t="s">
        <v>28</v>
      </c>
      <c r="B5" s="32"/>
      <c r="C5" s="7" t="s">
        <v>96</v>
      </c>
      <c r="D5" s="8" t="s">
        <v>243</v>
      </c>
      <c r="E5" s="7" t="s">
        <v>244</v>
      </c>
      <c r="F5" s="7" t="s">
        <v>245</v>
      </c>
      <c r="G5" s="7" t="s">
        <v>259</v>
      </c>
      <c r="H5" s="7" t="s">
        <v>260</v>
      </c>
      <c r="I5" s="7" t="s">
        <v>261</v>
      </c>
      <c r="J5" s="5"/>
    </row>
    <row r="6" spans="1:10" ht="15" customHeight="1" x14ac:dyDescent="0.25">
      <c r="A6" s="25" t="s">
        <v>29</v>
      </c>
      <c r="B6" s="32"/>
      <c r="C6" s="75" t="s">
        <v>246</v>
      </c>
      <c r="D6" s="75">
        <v>30</v>
      </c>
      <c r="E6" s="75" t="s">
        <v>247</v>
      </c>
      <c r="F6" s="75" t="s">
        <v>248</v>
      </c>
      <c r="G6" s="75" t="s">
        <v>262</v>
      </c>
      <c r="H6" s="94">
        <v>43952</v>
      </c>
      <c r="I6" s="95">
        <v>5000</v>
      </c>
      <c r="J6" s="5"/>
    </row>
    <row r="7" spans="1:10" ht="15" customHeight="1" x14ac:dyDescent="0.25">
      <c r="A7" s="25" t="s">
        <v>30</v>
      </c>
      <c r="B7" s="32"/>
      <c r="C7" s="75" t="s">
        <v>249</v>
      </c>
      <c r="D7" s="75">
        <v>10</v>
      </c>
      <c r="E7" s="75" t="s">
        <v>250</v>
      </c>
      <c r="F7" s="75" t="s">
        <v>251</v>
      </c>
      <c r="G7" s="75" t="s">
        <v>263</v>
      </c>
      <c r="H7" s="94">
        <v>43174</v>
      </c>
      <c r="I7" s="95">
        <v>4000</v>
      </c>
      <c r="J7" s="5"/>
    </row>
    <row r="8" spans="1:10" s="4" customFormat="1" ht="15" customHeight="1" x14ac:dyDescent="0.25">
      <c r="A8" s="25" t="s">
        <v>31</v>
      </c>
      <c r="B8" s="33"/>
      <c r="C8" s="75" t="s">
        <v>252</v>
      </c>
      <c r="D8" s="75">
        <v>30</v>
      </c>
      <c r="E8" s="75"/>
      <c r="F8" s="75" t="s">
        <v>253</v>
      </c>
      <c r="G8" s="75"/>
      <c r="H8" s="94">
        <v>44357</v>
      </c>
      <c r="I8" s="95">
        <v>4500</v>
      </c>
      <c r="J8" s="5"/>
    </row>
    <row r="9" spans="1:10" s="4" customFormat="1" ht="15" customHeight="1" x14ac:dyDescent="0.25">
      <c r="A9" s="25"/>
      <c r="B9" s="33"/>
      <c r="C9" s="75" t="s">
        <v>254</v>
      </c>
      <c r="D9" s="75">
        <v>28</v>
      </c>
      <c r="E9" s="75" t="s">
        <v>255</v>
      </c>
      <c r="F9" s="75" t="s">
        <v>256</v>
      </c>
      <c r="G9" s="75" t="s">
        <v>265</v>
      </c>
      <c r="H9" s="94">
        <v>43668</v>
      </c>
      <c r="I9" s="95">
        <v>6200</v>
      </c>
      <c r="J9" s="5"/>
    </row>
    <row r="10" spans="1:10" s="4" customFormat="1" ht="15" customHeight="1" x14ac:dyDescent="0.25">
      <c r="A10" s="25"/>
      <c r="B10" s="33"/>
      <c r="C10" s="75" t="s">
        <v>257</v>
      </c>
      <c r="D10" s="75">
        <v>35</v>
      </c>
      <c r="E10" s="75" t="s">
        <v>258</v>
      </c>
      <c r="F10" s="75" t="s">
        <v>251</v>
      </c>
      <c r="G10" s="75" t="s">
        <v>266</v>
      </c>
      <c r="H10" s="94">
        <v>43052</v>
      </c>
      <c r="I10" s="95">
        <v>4800</v>
      </c>
      <c r="J10" s="5"/>
    </row>
    <row r="11" spans="1:10" customFormat="1" ht="15" customHeight="1" x14ac:dyDescent="0.25">
      <c r="C11" s="75" t="s">
        <v>267</v>
      </c>
      <c r="D11" s="75">
        <v>26</v>
      </c>
      <c r="E11" s="75" t="s">
        <v>268</v>
      </c>
      <c r="F11" s="75" t="s">
        <v>269</v>
      </c>
      <c r="G11" s="75" t="s">
        <v>262</v>
      </c>
      <c r="H11" s="94">
        <v>44416</v>
      </c>
      <c r="I11" s="95">
        <v>5200</v>
      </c>
    </row>
    <row r="12" spans="1:10" s="4" customFormat="1" ht="15" customHeight="1" x14ac:dyDescent="0.25">
      <c r="A12" s="25" t="s">
        <v>34</v>
      </c>
      <c r="B12" s="33"/>
      <c r="C12" s="75" t="s">
        <v>270</v>
      </c>
      <c r="D12" s="75"/>
      <c r="E12" s="75" t="s">
        <v>271</v>
      </c>
      <c r="F12" s="75" t="s">
        <v>272</v>
      </c>
      <c r="G12" s="75"/>
      <c r="H12" s="94">
        <v>43865</v>
      </c>
      <c r="I12" s="95">
        <v>6000</v>
      </c>
      <c r="J12" s="5"/>
    </row>
    <row r="13" spans="1:10" s="4" customFormat="1" ht="15" customHeight="1" x14ac:dyDescent="0.25">
      <c r="A13" s="25" t="s">
        <v>35</v>
      </c>
      <c r="B13"/>
      <c r="C13" s="75" t="s">
        <v>273</v>
      </c>
      <c r="D13" s="75">
        <v>40</v>
      </c>
      <c r="E13" s="75" t="s">
        <v>247</v>
      </c>
      <c r="F13" s="75" t="s">
        <v>251</v>
      </c>
      <c r="G13" s="75" t="s">
        <v>266</v>
      </c>
      <c r="H13" s="94">
        <v>42259</v>
      </c>
      <c r="I13" s="95">
        <v>5400</v>
      </c>
      <c r="J13" s="5"/>
    </row>
    <row r="14" spans="1:10" s="4" customFormat="1" ht="15" customHeight="1" x14ac:dyDescent="0.25">
      <c r="A14" s="25" t="s">
        <v>36</v>
      </c>
      <c r="B14"/>
      <c r="C14" s="75" t="s">
        <v>274</v>
      </c>
      <c r="D14" s="75">
        <v>27</v>
      </c>
      <c r="E14" s="75" t="s">
        <v>250</v>
      </c>
      <c r="F14" s="75" t="s">
        <v>253</v>
      </c>
      <c r="G14" s="75" t="s">
        <v>264</v>
      </c>
      <c r="H14" s="94">
        <v>43800</v>
      </c>
      <c r="I14" s="95">
        <v>4200</v>
      </c>
      <c r="J14" s="5"/>
    </row>
    <row r="15" spans="1:10" s="4" customFormat="1" ht="15" customHeight="1" x14ac:dyDescent="0.25">
      <c r="A15" s="25" t="s">
        <v>37</v>
      </c>
      <c r="B15"/>
      <c r="C15" s="75" t="s">
        <v>275</v>
      </c>
      <c r="D15" s="75">
        <v>34</v>
      </c>
      <c r="E15" s="75" t="s">
        <v>255</v>
      </c>
      <c r="F15" s="75" t="s">
        <v>269</v>
      </c>
      <c r="G15" s="75" t="s">
        <v>262</v>
      </c>
      <c r="H15" s="94">
        <v>43245</v>
      </c>
      <c r="I15" s="95">
        <v>5600</v>
      </c>
      <c r="J15" s="5"/>
    </row>
    <row r="16" spans="1:10" s="4" customFormat="1" ht="15" customHeight="1" x14ac:dyDescent="0.25">
      <c r="A16" s="25" t="s">
        <v>38</v>
      </c>
      <c r="B16"/>
      <c r="C16"/>
      <c r="D16"/>
      <c r="E16"/>
      <c r="F16"/>
      <c r="G16"/>
      <c r="H16"/>
      <c r="I16"/>
      <c r="J16" s="5"/>
    </row>
    <row r="17" spans="1:10" s="4" customFormat="1" ht="15" customHeight="1" x14ac:dyDescent="0.25">
      <c r="A17" s="25" t="s">
        <v>39</v>
      </c>
      <c r="B17"/>
      <c r="C17"/>
      <c r="D17"/>
      <c r="E17"/>
      <c r="F17"/>
      <c r="G17"/>
      <c r="H17"/>
      <c r="I17"/>
      <c r="J17" s="5"/>
    </row>
    <row r="18" spans="1:10" s="4" customFormat="1" ht="15" customHeight="1" x14ac:dyDescent="0.25">
      <c r="A18" s="25" t="s">
        <v>40</v>
      </c>
      <c r="B18"/>
      <c r="C18"/>
      <c r="D18"/>
      <c r="E18"/>
      <c r="F18"/>
      <c r="G18"/>
      <c r="H18"/>
      <c r="I18"/>
      <c r="J18" s="33"/>
    </row>
    <row r="19" spans="1:10" s="4" customFormat="1" ht="15" customHeight="1" x14ac:dyDescent="0.25">
      <c r="A19" s="25"/>
      <c r="B19"/>
      <c r="C19"/>
      <c r="D19"/>
      <c r="E19"/>
      <c r="F19"/>
      <c r="G19"/>
      <c r="H19"/>
      <c r="I19"/>
      <c r="J19" s="33"/>
    </row>
    <row r="20" spans="1:10" s="4" customFormat="1" ht="15" customHeight="1" x14ac:dyDescent="0.25">
      <c r="A20" s="25"/>
      <c r="B20"/>
      <c r="C20"/>
      <c r="D20"/>
      <c r="E20"/>
      <c r="F20"/>
      <c r="G20"/>
      <c r="H20"/>
      <c r="I20"/>
      <c r="J20" s="33"/>
    </row>
    <row r="21" spans="1:10" s="4" customFormat="1" ht="15" customHeight="1" x14ac:dyDescent="0.25">
      <c r="A21" s="25"/>
      <c r="B21"/>
      <c r="C21"/>
      <c r="D21"/>
      <c r="E21"/>
      <c r="F21"/>
      <c r="G21"/>
      <c r="H21"/>
      <c r="I21"/>
    </row>
    <row r="22" spans="1:10" s="4" customFormat="1" ht="15" customHeight="1" x14ac:dyDescent="0.25">
      <c r="A22" s="25"/>
      <c r="B22"/>
      <c r="C22"/>
      <c r="D22"/>
      <c r="E22"/>
      <c r="F22"/>
      <c r="G22"/>
      <c r="H22"/>
      <c r="I22"/>
    </row>
    <row r="23" spans="1:10" s="4" customFormat="1" ht="15" customHeight="1" x14ac:dyDescent="0.25">
      <c r="A23" s="25"/>
      <c r="B23" s="33"/>
      <c r="C23" s="9"/>
    </row>
    <row r="24" spans="1:10" s="4" customFormat="1" ht="15" customHeight="1" x14ac:dyDescent="0.25">
      <c r="A24" s="25"/>
      <c r="B24" s="33"/>
      <c r="C24" s="9"/>
    </row>
    <row r="25" spans="1:10" s="4" customFormat="1" ht="15" customHeight="1" x14ac:dyDescent="0.25">
      <c r="A25" s="25"/>
      <c r="B25" s="33"/>
      <c r="C25" s="9"/>
    </row>
    <row r="26" spans="1:10" s="4" customFormat="1" ht="15" customHeight="1" x14ac:dyDescent="0.25">
      <c r="A26" s="25"/>
      <c r="B26" s="33"/>
      <c r="C26" s="9"/>
    </row>
    <row r="27" spans="1:10" s="4" customFormat="1" ht="15" customHeight="1" x14ac:dyDescent="0.25">
      <c r="A27" s="25"/>
      <c r="B27" s="33"/>
      <c r="C27" s="9"/>
    </row>
    <row r="28" spans="1:10" s="4" customFormat="1" ht="15" customHeight="1" x14ac:dyDescent="0.25">
      <c r="A28" s="25"/>
      <c r="B28" s="33"/>
      <c r="C28" s="9"/>
    </row>
    <row r="29" spans="1:10" s="4" customFormat="1" ht="15" customHeight="1" x14ac:dyDescent="0.25">
      <c r="A29" s="25"/>
      <c r="B29" s="33"/>
      <c r="C29" s="9"/>
    </row>
    <row r="30" spans="1:10" s="4" customFormat="1" ht="15" customHeight="1" x14ac:dyDescent="0.25">
      <c r="A30" s="25"/>
      <c r="B30" s="33"/>
      <c r="C30" s="9"/>
    </row>
    <row r="31" spans="1:10" x14ac:dyDescent="0.25">
      <c r="B31" s="32"/>
    </row>
    <row r="32" spans="1:10" x14ac:dyDescent="0.25">
      <c r="B32" s="32"/>
    </row>
    <row r="33" spans="2:9" ht="15" customHeight="1" x14ac:dyDescent="0.25">
      <c r="B33" s="32"/>
    </row>
    <row r="34" spans="2:9" ht="15" customHeight="1" x14ac:dyDescent="0.25">
      <c r="B34" s="32"/>
    </row>
    <row r="35" spans="2:9" ht="15" customHeight="1" x14ac:dyDescent="0.25">
      <c r="B35" s="32"/>
    </row>
    <row r="36" spans="2:9" ht="15" customHeight="1" x14ac:dyDescent="0.25">
      <c r="B36" s="32"/>
    </row>
    <row r="37" spans="2:9" ht="15" customHeight="1" x14ac:dyDescent="0.25">
      <c r="B37" s="32"/>
      <c r="D37" s="32"/>
      <c r="E37" s="32"/>
      <c r="F37" s="33"/>
      <c r="G37" s="32"/>
      <c r="H37" s="32"/>
      <c r="I37" s="32"/>
    </row>
    <row r="38" spans="2:9" ht="15" customHeight="1" x14ac:dyDescent="0.25">
      <c r="B38" s="32"/>
      <c r="D38" s="32"/>
      <c r="E38" s="32"/>
      <c r="F38" s="33"/>
      <c r="G38" s="32"/>
      <c r="H38" s="32"/>
      <c r="I38" s="32"/>
    </row>
    <row r="39" spans="2:9" ht="15" customHeight="1" x14ac:dyDescent="0.25">
      <c r="B39" s="32"/>
      <c r="D39" s="32"/>
      <c r="E39" s="32"/>
      <c r="F39" s="33"/>
      <c r="G39" s="32"/>
      <c r="H39" s="32"/>
      <c r="I39" s="32"/>
    </row>
    <row r="40" spans="2:9" x14ac:dyDescent="0.25">
      <c r="B40" s="32"/>
      <c r="D40" s="32"/>
      <c r="E40" s="32"/>
      <c r="F40" s="33"/>
      <c r="G40" s="32"/>
      <c r="H40" s="32"/>
      <c r="I40" s="32"/>
    </row>
    <row r="45" spans="2:9" ht="15" customHeight="1" x14ac:dyDescent="0.25">
      <c r="B45" s="32"/>
      <c r="D45" s="32"/>
      <c r="E45" s="32"/>
      <c r="F45" s="33"/>
      <c r="G45" s="32"/>
      <c r="H45" s="32"/>
      <c r="I45" s="32"/>
    </row>
    <row r="46" spans="2:9" ht="15" customHeight="1" x14ac:dyDescent="0.25">
      <c r="B46" s="32"/>
      <c r="D46" s="32"/>
      <c r="E46" s="32"/>
      <c r="F46" s="33"/>
      <c r="G46" s="32"/>
      <c r="H46" s="32"/>
      <c r="I46" s="32"/>
    </row>
    <row r="47" spans="2:9" ht="15" customHeight="1" x14ac:dyDescent="0.25">
      <c r="B47" s="32"/>
      <c r="D47" s="32"/>
      <c r="E47" s="32"/>
      <c r="F47" s="33"/>
      <c r="G47" s="32"/>
      <c r="H47" s="32"/>
      <c r="I47" s="32"/>
    </row>
    <row r="48" spans="2:9" ht="15" customHeight="1" x14ac:dyDescent="0.25">
      <c r="B48" s="32"/>
      <c r="D48" s="32"/>
      <c r="E48" s="32"/>
      <c r="F48" s="33"/>
      <c r="G48" s="32"/>
      <c r="H48" s="32"/>
      <c r="I48" s="32"/>
    </row>
    <row r="49" spans="2:9" ht="15" customHeight="1" x14ac:dyDescent="0.25">
      <c r="B49" s="32"/>
      <c r="D49" s="32"/>
      <c r="E49" s="32"/>
      <c r="F49" s="33"/>
      <c r="G49" s="32"/>
      <c r="H49" s="32"/>
      <c r="I49" s="32"/>
    </row>
    <row r="50" spans="2:9" ht="15" customHeight="1" x14ac:dyDescent="0.25">
      <c r="B50" s="32"/>
      <c r="D50" s="32"/>
      <c r="E50" s="32"/>
      <c r="F50" s="33"/>
      <c r="G50" s="32"/>
      <c r="H50" s="32"/>
      <c r="I50" s="3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10E7-2948-4CC2-A9DD-A7AD426994F2}">
  <dimension ref="A1:K49"/>
  <sheetViews>
    <sheetView showGridLines="0" topLeftCell="A2" zoomScale="128" zoomScaleNormal="40" workbookViewId="0">
      <selection activeCell="K5" sqref="K5"/>
    </sheetView>
  </sheetViews>
  <sheetFormatPr defaultColWidth="8.85546875" defaultRowHeight="15" x14ac:dyDescent="0.25"/>
  <cols>
    <col min="1" max="1" width="2.28515625" style="25" customWidth="1"/>
    <col min="2" max="2" width="6" style="1" customWidth="1"/>
    <col min="3" max="3" width="8.42578125" style="9" bestFit="1" customWidth="1"/>
    <col min="4" max="4" width="14.42578125" style="1" bestFit="1" customWidth="1"/>
    <col min="5" max="5" width="13.140625" style="1" bestFit="1" customWidth="1"/>
    <col min="6" max="6" width="14.42578125" style="4" bestFit="1" customWidth="1"/>
    <col min="7" max="7" width="13.140625" style="1" bestFit="1" customWidth="1"/>
    <col min="8" max="9" width="8.85546875" style="1"/>
    <col min="10" max="10" width="14.5703125" style="1" bestFit="1" customWidth="1"/>
    <col min="11" max="11" width="19.7109375" style="1" bestFit="1" customWidth="1"/>
    <col min="12" max="16384" width="8.85546875" style="1"/>
  </cols>
  <sheetData>
    <row r="1" spans="1:11" ht="27.6" customHeight="1" x14ac:dyDescent="0.25">
      <c r="A1" s="25" t="s">
        <v>27</v>
      </c>
      <c r="B1" s="32"/>
      <c r="C1" s="56"/>
      <c r="D1" s="57"/>
      <c r="E1" s="57"/>
      <c r="F1"/>
      <c r="G1"/>
      <c r="H1" s="32"/>
    </row>
    <row r="2" spans="1:11" ht="27.6" customHeight="1" x14ac:dyDescent="0.25">
      <c r="B2" s="32"/>
      <c r="C2" s="56"/>
      <c r="D2" s="57"/>
      <c r="E2" s="57"/>
      <c r="F2"/>
      <c r="G2"/>
      <c r="H2" s="32"/>
    </row>
    <row r="3" spans="1:11" ht="15" customHeight="1" x14ac:dyDescent="0.25">
      <c r="A3" s="25" t="s">
        <v>28</v>
      </c>
      <c r="B3" s="32"/>
      <c r="C3" s="96" t="s">
        <v>96</v>
      </c>
      <c r="D3" s="96" t="s">
        <v>245</v>
      </c>
      <c r="E3" s="96" t="s">
        <v>259</v>
      </c>
      <c r="F3" s="96" t="s">
        <v>261</v>
      </c>
      <c r="G3" s="96" t="s">
        <v>260</v>
      </c>
      <c r="H3" s="5"/>
      <c r="J3" s="103" t="s">
        <v>245</v>
      </c>
      <c r="K3" s="103" t="s">
        <v>305</v>
      </c>
    </row>
    <row r="4" spans="1:11" ht="32.25" customHeight="1" x14ac:dyDescent="0.35">
      <c r="A4" s="25" t="s">
        <v>29</v>
      </c>
      <c r="B4" s="32"/>
      <c r="C4" s="93" t="s">
        <v>246</v>
      </c>
      <c r="D4" s="105" t="s">
        <v>308</v>
      </c>
      <c r="E4" s="93" t="s">
        <v>262</v>
      </c>
      <c r="F4" s="102">
        <v>5000</v>
      </c>
      <c r="G4" s="97">
        <v>43952</v>
      </c>
      <c r="H4" s="5"/>
      <c r="J4" s="115" t="s">
        <v>280</v>
      </c>
      <c r="K4" s="107">
        <f>SUMIF(D4:D14,$J$4,F4:F14)</f>
        <v>15800</v>
      </c>
    </row>
    <row r="5" spans="1:11" ht="15" customHeight="1" x14ac:dyDescent="0.25">
      <c r="A5" s="25" t="s">
        <v>30</v>
      </c>
      <c r="B5" s="32"/>
      <c r="C5" s="93" t="s">
        <v>249</v>
      </c>
      <c r="D5" s="93" t="s">
        <v>251</v>
      </c>
      <c r="E5" s="93" t="s">
        <v>263</v>
      </c>
      <c r="F5" s="102">
        <v>4000</v>
      </c>
      <c r="G5" s="97">
        <v>43174</v>
      </c>
      <c r="H5" s="5"/>
      <c r="K5" s="106"/>
    </row>
    <row r="6" spans="1:11" s="4" customFormat="1" ht="15" customHeight="1" x14ac:dyDescent="0.25">
      <c r="A6" s="25" t="s">
        <v>31</v>
      </c>
      <c r="B6" s="33"/>
      <c r="C6" s="93" t="s">
        <v>252</v>
      </c>
      <c r="D6" s="93" t="s">
        <v>253</v>
      </c>
      <c r="E6" s="93" t="s">
        <v>264</v>
      </c>
      <c r="F6" s="102">
        <v>4500</v>
      </c>
      <c r="G6" s="97">
        <v>44357</v>
      </c>
      <c r="H6" s="5"/>
    </row>
    <row r="7" spans="1:11" s="4" customFormat="1" ht="15" customHeight="1" x14ac:dyDescent="0.25">
      <c r="A7" s="25"/>
      <c r="B7" s="33"/>
      <c r="C7" s="93" t="s">
        <v>254</v>
      </c>
      <c r="D7" s="93" t="s">
        <v>256</v>
      </c>
      <c r="E7" s="93" t="s">
        <v>265</v>
      </c>
      <c r="F7" s="102">
        <v>6200</v>
      </c>
      <c r="G7" s="97">
        <v>43668</v>
      </c>
      <c r="H7" s="5"/>
    </row>
    <row r="8" spans="1:11" s="4" customFormat="1" ht="15" customHeight="1" x14ac:dyDescent="0.25">
      <c r="A8" s="25"/>
      <c r="B8" s="33"/>
      <c r="C8" s="93" t="s">
        <v>257</v>
      </c>
      <c r="D8" s="93" t="s">
        <v>251</v>
      </c>
      <c r="E8" s="93" t="s">
        <v>266</v>
      </c>
      <c r="F8" s="102">
        <v>4800</v>
      </c>
      <c r="G8" s="97">
        <v>43052</v>
      </c>
      <c r="H8" s="5"/>
    </row>
    <row r="9" spans="1:11" customFormat="1" ht="15" customHeight="1" x14ac:dyDescent="0.25">
      <c r="C9" s="93" t="s">
        <v>267</v>
      </c>
      <c r="D9" s="105" t="s">
        <v>308</v>
      </c>
      <c r="E9" s="93" t="s">
        <v>262</v>
      </c>
      <c r="F9" s="102">
        <v>5200</v>
      </c>
      <c r="G9" s="97">
        <v>44416</v>
      </c>
    </row>
    <row r="10" spans="1:11" customFormat="1" ht="15" customHeight="1" x14ac:dyDescent="0.25">
      <c r="C10" s="105" t="s">
        <v>306</v>
      </c>
      <c r="D10" s="105" t="s">
        <v>251</v>
      </c>
      <c r="E10" s="105" t="s">
        <v>307</v>
      </c>
      <c r="F10" s="102">
        <v>4800</v>
      </c>
      <c r="G10" s="97">
        <v>43052</v>
      </c>
    </row>
    <row r="11" spans="1:11" s="4" customFormat="1" ht="15" customHeight="1" x14ac:dyDescent="0.25">
      <c r="A11" s="25" t="s">
        <v>34</v>
      </c>
      <c r="B11" s="33"/>
      <c r="C11" s="93" t="s">
        <v>270</v>
      </c>
      <c r="D11" s="93" t="s">
        <v>272</v>
      </c>
      <c r="E11" s="93" t="s">
        <v>263</v>
      </c>
      <c r="F11" s="102">
        <v>6000</v>
      </c>
      <c r="G11" s="97">
        <v>43865</v>
      </c>
      <c r="H11" s="5"/>
    </row>
    <row r="12" spans="1:11" s="4" customFormat="1" ht="15" customHeight="1" x14ac:dyDescent="0.25">
      <c r="A12" s="25" t="s">
        <v>35</v>
      </c>
      <c r="B12"/>
      <c r="C12" s="93" t="s">
        <v>273</v>
      </c>
      <c r="D12" s="93" t="s">
        <v>251</v>
      </c>
      <c r="E12" s="93" t="s">
        <v>266</v>
      </c>
      <c r="F12" s="102">
        <v>5400</v>
      </c>
      <c r="G12" s="97">
        <v>42259</v>
      </c>
      <c r="H12" s="5"/>
    </row>
    <row r="13" spans="1:11" s="4" customFormat="1" ht="15" customHeight="1" x14ac:dyDescent="0.25">
      <c r="A13" s="25" t="s">
        <v>36</v>
      </c>
      <c r="B13"/>
      <c r="C13" s="93" t="s">
        <v>274</v>
      </c>
      <c r="D13" s="93" t="s">
        <v>253</v>
      </c>
      <c r="E13" s="93" t="s">
        <v>264</v>
      </c>
      <c r="F13" s="102">
        <v>4200</v>
      </c>
      <c r="G13" s="97">
        <v>43800</v>
      </c>
      <c r="H13" s="5"/>
    </row>
    <row r="14" spans="1:11" s="4" customFormat="1" ht="15" customHeight="1" x14ac:dyDescent="0.25">
      <c r="A14" s="25" t="s">
        <v>37</v>
      </c>
      <c r="B14"/>
      <c r="C14" s="93" t="s">
        <v>275</v>
      </c>
      <c r="D14" s="105" t="s">
        <v>308</v>
      </c>
      <c r="E14" s="93" t="s">
        <v>262</v>
      </c>
      <c r="F14" s="102">
        <v>5600</v>
      </c>
      <c r="G14" s="97">
        <v>43245</v>
      </c>
      <c r="H14" s="5"/>
    </row>
    <row r="15" spans="1:11" s="4" customFormat="1" ht="15" customHeight="1" x14ac:dyDescent="0.25">
      <c r="A15" s="25" t="s">
        <v>38</v>
      </c>
      <c r="B15"/>
      <c r="C15"/>
      <c r="D15"/>
      <c r="E15"/>
      <c r="F15"/>
      <c r="G15"/>
      <c r="H15" s="5"/>
    </row>
    <row r="16" spans="1:11" s="4" customFormat="1" ht="15" customHeight="1" x14ac:dyDescent="0.25">
      <c r="A16" s="25" t="s">
        <v>39</v>
      </c>
      <c r="B16"/>
      <c r="C16"/>
      <c r="D16"/>
      <c r="E16"/>
      <c r="F16"/>
      <c r="G16"/>
      <c r="H16" s="5"/>
    </row>
    <row r="17" spans="1:8" s="4" customFormat="1" ht="15" customHeight="1" x14ac:dyDescent="0.25">
      <c r="A17" s="25" t="s">
        <v>40</v>
      </c>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c r="H19" s="33"/>
    </row>
    <row r="20" spans="1:8" s="4" customFormat="1" ht="15" customHeight="1" x14ac:dyDescent="0.25">
      <c r="A20" s="25"/>
      <c r="B20"/>
      <c r="C20"/>
      <c r="D20"/>
      <c r="E20"/>
      <c r="F20"/>
      <c r="G20"/>
    </row>
    <row r="21" spans="1:8" s="4" customFormat="1" ht="15" customHeight="1" x14ac:dyDescent="0.25">
      <c r="A21" s="25"/>
      <c r="B21"/>
      <c r="C21"/>
      <c r="D21"/>
      <c r="E21"/>
      <c r="F21"/>
      <c r="G21"/>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s="4" customFormat="1" ht="15" customHeight="1" x14ac:dyDescent="0.25">
      <c r="A29" s="25"/>
      <c r="B29" s="33"/>
      <c r="C29" s="9"/>
    </row>
    <row r="30" spans="1:8" x14ac:dyDescent="0.25">
      <c r="B30" s="32"/>
    </row>
    <row r="31" spans="1:8"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row>
    <row r="36" spans="2:7" ht="15" customHeight="1" x14ac:dyDescent="0.25">
      <c r="B36" s="32"/>
      <c r="D36" s="32"/>
      <c r="E36" s="32"/>
      <c r="F36" s="33"/>
      <c r="G36" s="32"/>
    </row>
    <row r="37" spans="2:7" ht="15" customHeight="1" x14ac:dyDescent="0.25">
      <c r="B37" s="32"/>
      <c r="D37" s="32"/>
      <c r="E37" s="32"/>
      <c r="F37" s="33"/>
      <c r="G37" s="32"/>
    </row>
    <row r="38" spans="2:7" ht="15" customHeight="1" x14ac:dyDescent="0.25">
      <c r="B38" s="32"/>
      <c r="D38" s="32"/>
      <c r="E38" s="32"/>
      <c r="F38" s="33"/>
      <c r="G38" s="32"/>
    </row>
    <row r="39" spans="2:7" x14ac:dyDescent="0.25">
      <c r="B39" s="32"/>
      <c r="D39" s="32"/>
      <c r="E39" s="32"/>
      <c r="F39" s="33"/>
      <c r="G39"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row r="49" spans="2:7" ht="15" customHeight="1" x14ac:dyDescent="0.25">
      <c r="B49" s="32"/>
      <c r="D49" s="32"/>
      <c r="E49" s="32"/>
      <c r="F49" s="33"/>
      <c r="G49" s="3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7C96-DABB-48E0-A9E8-F6318DACDEF2}">
  <dimension ref="A1:M48"/>
  <sheetViews>
    <sheetView showGridLines="0" topLeftCell="A2" zoomScaleNormal="100" workbookViewId="0">
      <selection activeCell="L6" sqref="L6"/>
    </sheetView>
  </sheetViews>
  <sheetFormatPr defaultColWidth="8.85546875" defaultRowHeight="15" x14ac:dyDescent="0.25"/>
  <cols>
    <col min="1" max="1" width="2.28515625" style="25" customWidth="1"/>
    <col min="2" max="2" width="4.28515625"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style="1" bestFit="1" customWidth="1"/>
    <col min="9" max="10" width="8.85546875" style="1"/>
    <col min="11" max="11" width="14" style="1" bestFit="1" customWidth="1"/>
    <col min="12" max="12" width="14" style="1" customWidth="1"/>
    <col min="13" max="13" width="22.28515625" style="1" bestFit="1" customWidth="1"/>
    <col min="14" max="16384" width="8.85546875" style="1"/>
  </cols>
  <sheetData>
    <row r="1" spans="1:13" ht="27.6" customHeight="1" x14ac:dyDescent="0.25">
      <c r="A1" s="25" t="s">
        <v>27</v>
      </c>
      <c r="B1" s="32"/>
      <c r="C1" s="56"/>
      <c r="D1" s="57"/>
      <c r="E1" s="57"/>
      <c r="F1"/>
      <c r="G1"/>
      <c r="H1" s="32"/>
    </row>
    <row r="2" spans="1:13" ht="27.6" customHeight="1" x14ac:dyDescent="0.25">
      <c r="B2" s="32"/>
      <c r="C2" s="56"/>
      <c r="D2" s="57"/>
      <c r="E2" s="57"/>
      <c r="F2"/>
      <c r="G2"/>
      <c r="H2" s="32"/>
    </row>
    <row r="3" spans="1:13" ht="15" customHeight="1" x14ac:dyDescent="0.25">
      <c r="A3" s="25" t="s">
        <v>28</v>
      </c>
      <c r="B3" s="32"/>
      <c r="C3" s="96" t="s">
        <v>96</v>
      </c>
      <c r="D3" s="96" t="s">
        <v>245</v>
      </c>
      <c r="E3" s="96" t="s">
        <v>259</v>
      </c>
      <c r="F3" s="96" t="s">
        <v>261</v>
      </c>
      <c r="G3" s="96" t="s">
        <v>260</v>
      </c>
      <c r="H3" s="96" t="s">
        <v>276</v>
      </c>
    </row>
    <row r="4" spans="1:13" ht="15" customHeight="1" x14ac:dyDescent="0.25">
      <c r="A4" s="25" t="s">
        <v>29</v>
      </c>
      <c r="B4" s="32"/>
      <c r="C4" s="75" t="s">
        <v>246</v>
      </c>
      <c r="D4" s="98" t="s">
        <v>280</v>
      </c>
      <c r="E4" s="75" t="s">
        <v>262</v>
      </c>
      <c r="F4" s="95">
        <v>5000</v>
      </c>
      <c r="G4" s="94">
        <v>43952</v>
      </c>
      <c r="H4" s="75" t="s">
        <v>277</v>
      </c>
      <c r="J4" s="96" t="s">
        <v>245</v>
      </c>
      <c r="K4" s="96" t="s">
        <v>259</v>
      </c>
      <c r="L4" s="96" t="s">
        <v>276</v>
      </c>
      <c r="M4" s="96" t="s">
        <v>143</v>
      </c>
    </row>
    <row r="5" spans="1:13" ht="30.75" customHeight="1" x14ac:dyDescent="0.35">
      <c r="A5" s="25" t="s">
        <v>30</v>
      </c>
      <c r="B5" s="32"/>
      <c r="C5" s="75" t="s">
        <v>249</v>
      </c>
      <c r="D5" s="100" t="s">
        <v>309</v>
      </c>
      <c r="E5" s="75" t="s">
        <v>263</v>
      </c>
      <c r="F5" s="95">
        <v>4000</v>
      </c>
      <c r="G5" s="94">
        <v>43174</v>
      </c>
      <c r="H5" s="75" t="s">
        <v>278</v>
      </c>
      <c r="J5" s="116" t="s">
        <v>308</v>
      </c>
      <c r="K5" s="116" t="s">
        <v>262</v>
      </c>
      <c r="L5" s="116" t="s">
        <v>279</v>
      </c>
      <c r="M5" s="108">
        <f>SUMIFS(F4:F13,D4:D13,$J$5,E4:E13,$K$5,H4:H13,$L$5)</f>
        <v>5600</v>
      </c>
    </row>
    <row r="6" spans="1:13" s="4" customFormat="1" ht="15" customHeight="1" x14ac:dyDescent="0.25">
      <c r="A6" s="25" t="s">
        <v>31</v>
      </c>
      <c r="B6" s="33"/>
      <c r="C6" s="75" t="s">
        <v>252</v>
      </c>
      <c r="D6" s="75" t="s">
        <v>251</v>
      </c>
      <c r="E6" s="75" t="s">
        <v>264</v>
      </c>
      <c r="F6" s="95">
        <v>4500</v>
      </c>
      <c r="G6" s="94">
        <v>44357</v>
      </c>
      <c r="H6" s="75" t="s">
        <v>277</v>
      </c>
    </row>
    <row r="7" spans="1:13" s="4" customFormat="1" ht="15" customHeight="1" x14ac:dyDescent="0.25">
      <c r="A7" s="25"/>
      <c r="B7" s="33"/>
      <c r="C7" s="75" t="s">
        <v>254</v>
      </c>
      <c r="D7" s="75" t="s">
        <v>256</v>
      </c>
      <c r="E7" s="75" t="s">
        <v>265</v>
      </c>
      <c r="F7" s="95">
        <v>6200</v>
      </c>
      <c r="G7" s="94">
        <v>43668</v>
      </c>
      <c r="H7" s="75" t="s">
        <v>279</v>
      </c>
    </row>
    <row r="8" spans="1:13" s="4" customFormat="1" ht="15" customHeight="1" x14ac:dyDescent="0.25">
      <c r="A8" s="25"/>
      <c r="B8" s="33"/>
      <c r="C8" s="75" t="s">
        <v>257</v>
      </c>
      <c r="D8" s="75" t="s">
        <v>251</v>
      </c>
      <c r="E8" s="75" t="s">
        <v>266</v>
      </c>
      <c r="F8" s="95">
        <v>4800</v>
      </c>
      <c r="G8" s="94">
        <v>43052</v>
      </c>
      <c r="H8" s="75" t="s">
        <v>277</v>
      </c>
    </row>
    <row r="9" spans="1:13" customFormat="1" ht="15" customHeight="1" x14ac:dyDescent="0.25">
      <c r="C9" s="75" t="s">
        <v>267</v>
      </c>
      <c r="D9" s="117" t="s">
        <v>308</v>
      </c>
      <c r="E9" s="75" t="s">
        <v>262</v>
      </c>
      <c r="F9" s="95">
        <v>5200</v>
      </c>
      <c r="G9" s="94">
        <v>44416</v>
      </c>
      <c r="H9" s="75" t="s">
        <v>277</v>
      </c>
    </row>
    <row r="10" spans="1:13" s="4" customFormat="1" ht="15" customHeight="1" x14ac:dyDescent="0.25">
      <c r="A10" s="25" t="s">
        <v>34</v>
      </c>
      <c r="B10" s="33"/>
      <c r="C10" s="75" t="s">
        <v>270</v>
      </c>
      <c r="D10" s="100" t="s">
        <v>256</v>
      </c>
      <c r="E10" s="75" t="s">
        <v>263</v>
      </c>
      <c r="F10" s="95">
        <v>6000</v>
      </c>
      <c r="G10" s="94">
        <v>43865</v>
      </c>
      <c r="H10" s="75" t="s">
        <v>279</v>
      </c>
    </row>
    <row r="11" spans="1:13" s="4" customFormat="1" ht="15" customHeight="1" x14ac:dyDescent="0.25">
      <c r="A11" s="25" t="s">
        <v>35</v>
      </c>
      <c r="B11"/>
      <c r="C11" s="75" t="s">
        <v>273</v>
      </c>
      <c r="D11" s="75" t="s">
        <v>251</v>
      </c>
      <c r="E11" s="100" t="s">
        <v>263</v>
      </c>
      <c r="F11" s="95">
        <v>5400</v>
      </c>
      <c r="G11" s="94">
        <v>42259</v>
      </c>
      <c r="H11" s="75" t="s">
        <v>278</v>
      </c>
    </row>
    <row r="12" spans="1:13" s="4" customFormat="1" ht="15" customHeight="1" x14ac:dyDescent="0.25">
      <c r="A12" s="25" t="s">
        <v>36</v>
      </c>
      <c r="B12"/>
      <c r="C12" s="75" t="s">
        <v>274</v>
      </c>
      <c r="D12" s="75" t="s">
        <v>251</v>
      </c>
      <c r="E12" s="98" t="s">
        <v>281</v>
      </c>
      <c r="F12" s="95">
        <v>4200</v>
      </c>
      <c r="G12" s="94">
        <v>43800</v>
      </c>
      <c r="H12" s="75" t="s">
        <v>277</v>
      </c>
    </row>
    <row r="13" spans="1:13" s="4" customFormat="1" ht="15" customHeight="1" x14ac:dyDescent="0.25">
      <c r="A13" s="25" t="s">
        <v>37</v>
      </c>
      <c r="B13"/>
      <c r="C13" s="75" t="s">
        <v>275</v>
      </c>
      <c r="D13" s="98" t="s">
        <v>280</v>
      </c>
      <c r="E13" s="75" t="s">
        <v>262</v>
      </c>
      <c r="F13" s="95">
        <v>5600</v>
      </c>
      <c r="G13" s="94">
        <v>43245</v>
      </c>
      <c r="H13" s="75" t="s">
        <v>279</v>
      </c>
    </row>
    <row r="14" spans="1:13" s="4" customFormat="1" ht="15" customHeight="1" x14ac:dyDescent="0.25">
      <c r="A14" s="25" t="s">
        <v>38</v>
      </c>
      <c r="B14"/>
      <c r="C14"/>
      <c r="D14"/>
      <c r="E14"/>
      <c r="F14"/>
      <c r="G14"/>
      <c r="H14" s="5"/>
    </row>
    <row r="15" spans="1:13" s="4" customFormat="1" ht="15" customHeight="1" x14ac:dyDescent="0.25">
      <c r="A15" s="25" t="s">
        <v>39</v>
      </c>
      <c r="B15"/>
      <c r="C15"/>
      <c r="D15"/>
      <c r="E15"/>
      <c r="F15"/>
      <c r="G15"/>
      <c r="H15" s="5"/>
    </row>
    <row r="16" spans="1:13" s="4" customFormat="1" ht="15" customHeight="1" x14ac:dyDescent="0.25">
      <c r="A16" s="25" t="s">
        <v>40</v>
      </c>
      <c r="B16"/>
      <c r="C16"/>
      <c r="D16"/>
      <c r="E16"/>
      <c r="F16"/>
      <c r="G16"/>
      <c r="H16" s="33"/>
    </row>
    <row r="17" spans="1:8" s="4" customFormat="1" ht="15" customHeight="1" x14ac:dyDescent="0.25">
      <c r="A17" s="25"/>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row>
    <row r="20" spans="1:8" s="4" customFormat="1" ht="15" customHeight="1" x14ac:dyDescent="0.25">
      <c r="A20" s="25"/>
      <c r="B20"/>
      <c r="C20"/>
      <c r="D20"/>
      <c r="E20"/>
      <c r="F20"/>
      <c r="G20"/>
    </row>
    <row r="21" spans="1:8" s="4" customFormat="1" ht="15" customHeight="1" x14ac:dyDescent="0.25">
      <c r="A21" s="25"/>
      <c r="B21" s="33"/>
      <c r="C21" s="9"/>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69A3-3EAD-4A6A-A9C2-4D937CF1C844}">
  <dimension ref="A1:J48"/>
  <sheetViews>
    <sheetView showGridLines="0" zoomScale="128" zoomScaleNormal="40" workbookViewId="0">
      <selection activeCell="J5" sqref="J5"/>
    </sheetView>
  </sheetViews>
  <sheetFormatPr defaultColWidth="8.85546875" defaultRowHeight="15" x14ac:dyDescent="0.25"/>
  <cols>
    <col min="1" max="1" width="2.28515625" style="25" customWidth="1"/>
    <col min="2" max="2" width="6" style="1" customWidth="1"/>
    <col min="3" max="3" width="9.14062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10.42578125" style="1" bestFit="1" customWidth="1"/>
    <col min="10" max="10" width="15.5703125" style="1" bestFit="1" customWidth="1"/>
    <col min="11" max="16384" width="8.85546875" style="1"/>
  </cols>
  <sheetData>
    <row r="1" spans="1:10" ht="27.6" customHeight="1" x14ac:dyDescent="0.25">
      <c r="A1" s="25" t="s">
        <v>27</v>
      </c>
      <c r="B1" s="32"/>
      <c r="C1" s="56"/>
      <c r="D1" s="57"/>
      <c r="E1" s="57"/>
      <c r="F1"/>
      <c r="G1"/>
    </row>
    <row r="2" spans="1:10" ht="27.6" customHeight="1" x14ac:dyDescent="0.25">
      <c r="B2" s="32"/>
      <c r="C2" s="56"/>
      <c r="D2" s="57"/>
      <c r="E2" s="57"/>
      <c r="F2"/>
      <c r="G2"/>
    </row>
    <row r="3" spans="1:10" ht="15" customHeight="1" x14ac:dyDescent="0.25">
      <c r="A3" s="25" t="s">
        <v>28</v>
      </c>
      <c r="B3" s="32"/>
      <c r="C3" s="96" t="s">
        <v>282</v>
      </c>
      <c r="D3" s="96" t="s">
        <v>283</v>
      </c>
      <c r="E3" s="96" t="s">
        <v>284</v>
      </c>
      <c r="F3" s="96" t="s">
        <v>285</v>
      </c>
      <c r="G3" s="96" t="s">
        <v>286</v>
      </c>
      <c r="I3" s="96" t="s">
        <v>283</v>
      </c>
      <c r="J3" s="96" t="s">
        <v>310</v>
      </c>
    </row>
    <row r="4" spans="1:10" ht="15" customHeight="1" x14ac:dyDescent="0.25">
      <c r="A4" s="25" t="s">
        <v>29</v>
      </c>
      <c r="B4" s="32"/>
      <c r="C4" s="75" t="s">
        <v>287</v>
      </c>
      <c r="D4" s="98" t="s">
        <v>288</v>
      </c>
      <c r="E4" s="75">
        <v>50</v>
      </c>
      <c r="F4" s="75">
        <v>39.9</v>
      </c>
      <c r="G4" s="99">
        <v>10</v>
      </c>
      <c r="I4" s="100" t="s">
        <v>293</v>
      </c>
      <c r="J4" s="104">
        <f>COUNTIF(D4:D13,I4)</f>
        <v>3</v>
      </c>
    </row>
    <row r="5" spans="1:10" ht="15" customHeight="1" x14ac:dyDescent="0.25">
      <c r="A5" s="25" t="s">
        <v>30</v>
      </c>
      <c r="B5" s="32"/>
      <c r="C5" s="75" t="s">
        <v>289</v>
      </c>
      <c r="D5" s="75" t="s">
        <v>288</v>
      </c>
      <c r="E5" s="75">
        <v>30</v>
      </c>
      <c r="F5" s="75">
        <v>79.900000000000006</v>
      </c>
      <c r="G5" s="99">
        <v>15</v>
      </c>
    </row>
    <row r="6" spans="1:10" s="4" customFormat="1" ht="15" customHeight="1" x14ac:dyDescent="0.25">
      <c r="A6" s="25" t="s">
        <v>31</v>
      </c>
      <c r="B6" s="33"/>
      <c r="C6" s="75" t="s">
        <v>290</v>
      </c>
      <c r="D6" s="75" t="s">
        <v>291</v>
      </c>
      <c r="E6" s="75">
        <v>20</v>
      </c>
      <c r="F6" s="75">
        <v>129.9</v>
      </c>
      <c r="G6" s="99">
        <v>5</v>
      </c>
      <c r="H6"/>
    </row>
    <row r="7" spans="1:10" s="4" customFormat="1" ht="15" customHeight="1" x14ac:dyDescent="0.25">
      <c r="A7" s="25"/>
      <c r="B7" s="33"/>
      <c r="C7" s="75" t="s">
        <v>292</v>
      </c>
      <c r="D7" s="75" t="s">
        <v>293</v>
      </c>
      <c r="E7" s="75">
        <v>15</v>
      </c>
      <c r="F7" s="75">
        <v>149.9</v>
      </c>
      <c r="G7" s="99">
        <v>20</v>
      </c>
      <c r="H7"/>
    </row>
    <row r="8" spans="1:10" s="4" customFormat="1" ht="15" customHeight="1" x14ac:dyDescent="0.25">
      <c r="A8" s="25"/>
      <c r="B8" s="33"/>
      <c r="C8" s="75" t="s">
        <v>294</v>
      </c>
      <c r="D8" s="75" t="s">
        <v>288</v>
      </c>
      <c r="E8" s="75">
        <v>25</v>
      </c>
      <c r="F8" s="75">
        <v>199.9</v>
      </c>
      <c r="G8" s="99">
        <v>10</v>
      </c>
      <c r="H8"/>
    </row>
    <row r="9" spans="1:10" customFormat="1" ht="15" customHeight="1" x14ac:dyDescent="0.25">
      <c r="C9" s="75" t="s">
        <v>295</v>
      </c>
      <c r="D9" s="100" t="s">
        <v>293</v>
      </c>
      <c r="E9" s="75">
        <v>40</v>
      </c>
      <c r="F9" s="75">
        <v>39.9</v>
      </c>
      <c r="G9" s="99">
        <v>30</v>
      </c>
    </row>
    <row r="10" spans="1:10" s="4" customFormat="1" ht="15" customHeight="1" x14ac:dyDescent="0.25">
      <c r="A10" s="25" t="s">
        <v>34</v>
      </c>
      <c r="B10" s="33"/>
      <c r="C10" s="75" t="s">
        <v>296</v>
      </c>
      <c r="D10" s="75" t="s">
        <v>291</v>
      </c>
      <c r="E10" s="75">
        <v>10</v>
      </c>
      <c r="F10" s="75">
        <v>199.9</v>
      </c>
      <c r="G10" s="99">
        <v>5</v>
      </c>
      <c r="H10"/>
    </row>
    <row r="11" spans="1:10" s="4" customFormat="1" ht="15" customHeight="1" x14ac:dyDescent="0.25">
      <c r="A11" s="25" t="s">
        <v>35</v>
      </c>
      <c r="B11"/>
      <c r="C11" s="75" t="s">
        <v>297</v>
      </c>
      <c r="D11" s="75" t="s">
        <v>291</v>
      </c>
      <c r="E11" s="75">
        <v>60</v>
      </c>
      <c r="F11" s="75">
        <v>89.9</v>
      </c>
      <c r="G11" s="99">
        <v>10</v>
      </c>
      <c r="H11"/>
    </row>
    <row r="12" spans="1:10" s="4" customFormat="1" ht="15" customHeight="1" x14ac:dyDescent="0.25">
      <c r="A12" s="25" t="s">
        <v>36</v>
      </c>
      <c r="B12"/>
      <c r="C12" s="75" t="s">
        <v>298</v>
      </c>
      <c r="D12" s="75" t="s">
        <v>288</v>
      </c>
      <c r="E12" s="98">
        <v>80</v>
      </c>
      <c r="F12" s="75">
        <v>59.9</v>
      </c>
      <c r="G12" s="99">
        <v>25</v>
      </c>
      <c r="H12"/>
    </row>
    <row r="13" spans="1:10" s="4" customFormat="1" ht="15" customHeight="1" x14ac:dyDescent="0.25">
      <c r="A13" s="25" t="s">
        <v>37</v>
      </c>
      <c r="B13"/>
      <c r="C13" s="75" t="s">
        <v>299</v>
      </c>
      <c r="D13" s="98" t="s">
        <v>293</v>
      </c>
      <c r="E13" s="75">
        <v>45</v>
      </c>
      <c r="F13" s="75">
        <v>299.89999999999998</v>
      </c>
      <c r="G13" s="99">
        <v>15</v>
      </c>
      <c r="H13"/>
    </row>
    <row r="14" spans="1:10" s="4" customFormat="1" ht="15" customHeight="1" x14ac:dyDescent="0.25">
      <c r="A14" s="25" t="s">
        <v>38</v>
      </c>
      <c r="B14"/>
      <c r="C14"/>
      <c r="D14"/>
      <c r="E14"/>
      <c r="F14"/>
      <c r="G14"/>
      <c r="H14"/>
    </row>
    <row r="15" spans="1:10" s="4" customFormat="1" ht="15" customHeight="1" x14ac:dyDescent="0.25">
      <c r="A15" s="25" t="s">
        <v>39</v>
      </c>
      <c r="B15"/>
      <c r="C15"/>
      <c r="D15"/>
      <c r="E15"/>
      <c r="F15"/>
      <c r="G15"/>
      <c r="H15"/>
    </row>
    <row r="16" spans="1:10"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A5F3-E6CB-4747-A26B-DA9DDE043A8D}">
  <dimension ref="A1:K48"/>
  <sheetViews>
    <sheetView showGridLines="0" tabSelected="1" zoomScale="128" zoomScaleNormal="40" workbookViewId="0">
      <selection activeCell="K4" sqref="K4"/>
    </sheetView>
  </sheetViews>
  <sheetFormatPr defaultColWidth="8.85546875" defaultRowHeight="15" x14ac:dyDescent="0.25"/>
  <cols>
    <col min="1" max="1" width="2.28515625" style="25" customWidth="1"/>
    <col min="2" max="2" width="6"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10.42578125" style="1" bestFit="1" customWidth="1"/>
    <col min="10" max="10" width="10.42578125" style="1" customWidth="1"/>
    <col min="11" max="11" width="15.5703125" style="1" bestFit="1" customWidth="1"/>
    <col min="12" max="16384" width="8.85546875" style="1"/>
  </cols>
  <sheetData>
    <row r="1" spans="1:11" ht="27.6" customHeight="1" x14ac:dyDescent="0.25">
      <c r="A1" s="25" t="s">
        <v>27</v>
      </c>
      <c r="B1" s="32"/>
      <c r="C1" s="56"/>
      <c r="D1" s="57"/>
      <c r="E1" s="57"/>
      <c r="F1"/>
      <c r="G1"/>
    </row>
    <row r="2" spans="1:11" ht="27.6" customHeight="1" x14ac:dyDescent="0.25">
      <c r="B2" s="32"/>
      <c r="C2" s="56"/>
      <c r="D2" s="57"/>
      <c r="E2" s="57"/>
      <c r="F2"/>
      <c r="G2"/>
    </row>
    <row r="3" spans="1:11" ht="15" customHeight="1" x14ac:dyDescent="0.25">
      <c r="A3" s="25" t="s">
        <v>28</v>
      </c>
      <c r="B3" s="32"/>
      <c r="C3" s="96" t="s">
        <v>282</v>
      </c>
      <c r="D3" s="96" t="s">
        <v>283</v>
      </c>
      <c r="E3" s="96" t="s">
        <v>284</v>
      </c>
      <c r="F3" s="96" t="s">
        <v>285</v>
      </c>
      <c r="G3" s="96" t="s">
        <v>286</v>
      </c>
      <c r="I3" s="96" t="s">
        <v>283</v>
      </c>
      <c r="J3" s="96" t="s">
        <v>284</v>
      </c>
      <c r="K3" s="96" t="s">
        <v>310</v>
      </c>
    </row>
    <row r="4" spans="1:11" ht="15" customHeight="1" x14ac:dyDescent="0.25">
      <c r="A4" s="25" t="s">
        <v>29</v>
      </c>
      <c r="B4" s="32"/>
      <c r="C4" s="75" t="s">
        <v>287</v>
      </c>
      <c r="D4" s="98" t="s">
        <v>288</v>
      </c>
      <c r="E4" s="75">
        <v>50</v>
      </c>
      <c r="F4" s="75">
        <v>39.9</v>
      </c>
      <c r="G4" s="99">
        <v>10</v>
      </c>
      <c r="I4" s="100" t="s">
        <v>288</v>
      </c>
      <c r="J4" s="109" t="s">
        <v>311</v>
      </c>
      <c r="K4" s="104">
        <f>COUNTIFS(D4:D13,I4,E4:E13,J4)</f>
        <v>3</v>
      </c>
    </row>
    <row r="5" spans="1:11" ht="15" customHeight="1" x14ac:dyDescent="0.25">
      <c r="A5" s="25" t="s">
        <v>30</v>
      </c>
      <c r="B5" s="32"/>
      <c r="C5" s="75" t="s">
        <v>289</v>
      </c>
      <c r="D5" s="75" t="s">
        <v>288</v>
      </c>
      <c r="E5" s="75">
        <v>30</v>
      </c>
      <c r="F5" s="75">
        <v>79.900000000000006</v>
      </c>
      <c r="G5" s="99">
        <v>15</v>
      </c>
    </row>
    <row r="6" spans="1:11" s="4" customFormat="1" ht="15" customHeight="1" x14ac:dyDescent="0.25">
      <c r="A6" s="25" t="s">
        <v>31</v>
      </c>
      <c r="B6" s="33"/>
      <c r="C6" s="75" t="s">
        <v>290</v>
      </c>
      <c r="D6" s="75" t="s">
        <v>291</v>
      </c>
      <c r="E6" s="75">
        <v>20</v>
      </c>
      <c r="F6" s="75">
        <v>129.9</v>
      </c>
      <c r="G6" s="99">
        <v>5</v>
      </c>
      <c r="H6"/>
    </row>
    <row r="7" spans="1:11" s="4" customFormat="1" ht="15" customHeight="1" x14ac:dyDescent="0.25">
      <c r="A7" s="25"/>
      <c r="B7" s="33"/>
      <c r="C7" s="75" t="s">
        <v>292</v>
      </c>
      <c r="D7" s="75" t="s">
        <v>293</v>
      </c>
      <c r="E7" s="75">
        <v>15</v>
      </c>
      <c r="F7" s="75">
        <v>149.9</v>
      </c>
      <c r="G7" s="99">
        <v>20</v>
      </c>
      <c r="H7"/>
    </row>
    <row r="8" spans="1:11" s="4" customFormat="1" ht="15" customHeight="1" x14ac:dyDescent="0.25">
      <c r="A8" s="25"/>
      <c r="B8" s="33"/>
      <c r="C8" s="75" t="s">
        <v>294</v>
      </c>
      <c r="D8" s="75" t="s">
        <v>288</v>
      </c>
      <c r="E8" s="75">
        <v>25</v>
      </c>
      <c r="F8" s="75">
        <v>199.9</v>
      </c>
      <c r="G8" s="99">
        <v>10</v>
      </c>
      <c r="H8"/>
    </row>
    <row r="9" spans="1:11" customFormat="1" ht="15" customHeight="1" x14ac:dyDescent="0.25">
      <c r="C9" s="75" t="s">
        <v>295</v>
      </c>
      <c r="D9" s="75" t="s">
        <v>293</v>
      </c>
      <c r="E9" s="75">
        <v>40</v>
      </c>
      <c r="F9" s="75">
        <v>39.9</v>
      </c>
      <c r="G9" s="99">
        <v>30</v>
      </c>
    </row>
    <row r="10" spans="1:11" s="4" customFormat="1" ht="15" customHeight="1" x14ac:dyDescent="0.25">
      <c r="A10" s="25" t="s">
        <v>34</v>
      </c>
      <c r="B10" s="33"/>
      <c r="C10" s="75" t="s">
        <v>296</v>
      </c>
      <c r="D10" s="75" t="s">
        <v>291</v>
      </c>
      <c r="E10" s="75">
        <v>10</v>
      </c>
      <c r="F10" s="75">
        <v>199.9</v>
      </c>
      <c r="G10" s="99">
        <v>5</v>
      </c>
      <c r="H10"/>
    </row>
    <row r="11" spans="1:11" s="4" customFormat="1" ht="15" customHeight="1" x14ac:dyDescent="0.25">
      <c r="A11" s="25" t="s">
        <v>35</v>
      </c>
      <c r="B11"/>
      <c r="C11" s="75" t="s">
        <v>297</v>
      </c>
      <c r="D11" s="75" t="s">
        <v>291</v>
      </c>
      <c r="E11" s="75">
        <v>60</v>
      </c>
      <c r="F11" s="75">
        <v>89.9</v>
      </c>
      <c r="G11" s="99">
        <v>10</v>
      </c>
      <c r="H11"/>
    </row>
    <row r="12" spans="1:11" s="4" customFormat="1" ht="15" customHeight="1" x14ac:dyDescent="0.25">
      <c r="A12" s="25" t="s">
        <v>36</v>
      </c>
      <c r="B12"/>
      <c r="C12" s="75" t="s">
        <v>298</v>
      </c>
      <c r="D12" s="75" t="s">
        <v>288</v>
      </c>
      <c r="E12" s="98">
        <v>80</v>
      </c>
      <c r="F12" s="75">
        <v>59.9</v>
      </c>
      <c r="G12" s="99">
        <v>25</v>
      </c>
      <c r="H12"/>
    </row>
    <row r="13" spans="1:11" s="4" customFormat="1" ht="15" customHeight="1" x14ac:dyDescent="0.25">
      <c r="A13" s="25" t="s">
        <v>37</v>
      </c>
      <c r="B13"/>
      <c r="C13" s="75" t="s">
        <v>299</v>
      </c>
      <c r="D13" s="98" t="s">
        <v>293</v>
      </c>
      <c r="E13" s="75">
        <v>45</v>
      </c>
      <c r="F13" s="75">
        <v>299.89999999999998</v>
      </c>
      <c r="G13" s="99">
        <v>15</v>
      </c>
      <c r="H13"/>
    </row>
    <row r="14" spans="1:11" s="4" customFormat="1" ht="15" customHeight="1" x14ac:dyDescent="0.25">
      <c r="A14" s="25" t="s">
        <v>38</v>
      </c>
      <c r="B14"/>
      <c r="C14"/>
      <c r="D14"/>
      <c r="E14"/>
      <c r="F14"/>
      <c r="G14"/>
      <c r="H14"/>
    </row>
    <row r="15" spans="1:11" s="4" customFormat="1" ht="15" customHeight="1" x14ac:dyDescent="0.25">
      <c r="A15" s="25" t="s">
        <v>39</v>
      </c>
      <c r="B15"/>
      <c r="C15"/>
      <c r="D15"/>
      <c r="E15"/>
      <c r="F15"/>
      <c r="G15"/>
      <c r="H15"/>
    </row>
    <row r="16" spans="1:11"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9" sqref="D9"/>
    </sheetView>
  </sheetViews>
  <sheetFormatPr defaultRowHeight="15" x14ac:dyDescent="0.25"/>
  <cols>
    <col min="1" max="1" width="12.7109375" customWidth="1"/>
    <col min="2" max="2" width="82.85546875" customWidth="1"/>
    <col min="3" max="3" width="26.28515625" bestFit="1" customWidth="1"/>
    <col min="4" max="4" width="15.140625" customWidth="1"/>
    <col min="7" max="7" width="10.7109375" bestFit="1" customWidth="1"/>
  </cols>
  <sheetData>
    <row r="1" spans="1:6" ht="60" customHeight="1" x14ac:dyDescent="0.25">
      <c r="A1" s="25" t="s">
        <v>55</v>
      </c>
    </row>
    <row r="2" spans="1:6" x14ac:dyDescent="0.25">
      <c r="A2" s="25" t="s">
        <v>56</v>
      </c>
    </row>
    <row r="3" spans="1:6" ht="33" x14ac:dyDescent="0.25">
      <c r="A3" s="25" t="s">
        <v>57</v>
      </c>
      <c r="C3" s="56"/>
      <c r="D3" s="58"/>
    </row>
    <row r="4" spans="1:6" x14ac:dyDescent="0.25">
      <c r="A4" s="25" t="s">
        <v>58</v>
      </c>
    </row>
    <row r="5" spans="1:6" x14ac:dyDescent="0.25">
      <c r="A5" s="25" t="s">
        <v>59</v>
      </c>
      <c r="C5" s="110" t="s">
        <v>55</v>
      </c>
      <c r="D5" s="110"/>
    </row>
    <row r="6" spans="1:6" ht="16.5" customHeight="1" x14ac:dyDescent="0.3">
      <c r="A6" s="25" t="s">
        <v>60</v>
      </c>
      <c r="C6" s="71" t="s">
        <v>69</v>
      </c>
      <c r="D6" s="80"/>
      <c r="F6" s="66" t="str">
        <f ca="1">IF(D6=TODAY(),"Isso aí!","")</f>
        <v/>
      </c>
    </row>
    <row r="7" spans="1:6" ht="16.5" customHeight="1" thickBot="1" x14ac:dyDescent="0.3">
      <c r="A7" s="27" t="s">
        <v>61</v>
      </c>
      <c r="C7" s="71" t="s">
        <v>70</v>
      </c>
      <c r="D7" s="80"/>
    </row>
    <row r="8" spans="1:6" ht="16.5" customHeight="1" thickTop="1" thickBot="1" x14ac:dyDescent="0.3">
      <c r="A8" s="25" t="s">
        <v>62</v>
      </c>
      <c r="C8" s="71" t="s">
        <v>71</v>
      </c>
      <c r="D8" s="76">
        <f>D7-D6</f>
        <v>0</v>
      </c>
    </row>
    <row r="9" spans="1:6" ht="15.75" thickTop="1" x14ac:dyDescent="0.25">
      <c r="A9" s="25" t="s">
        <v>63</v>
      </c>
    </row>
    <row r="10" spans="1:6" ht="15" customHeight="1" thickBot="1" x14ac:dyDescent="0.3">
      <c r="A10" s="27" t="s">
        <v>64</v>
      </c>
      <c r="C10" s="71" t="s">
        <v>72</v>
      </c>
      <c r="D10" s="77"/>
    </row>
    <row r="11" spans="1:6" ht="15" customHeight="1" thickTop="1" thickBot="1" x14ac:dyDescent="0.3">
      <c r="A11" s="27" t="s">
        <v>237</v>
      </c>
      <c r="C11" s="71" t="s">
        <v>73</v>
      </c>
      <c r="D11" s="81">
        <f>D6+D10</f>
        <v>0</v>
      </c>
    </row>
    <row r="12" spans="1:6" ht="15.75" thickTop="1" x14ac:dyDescent="0.25">
      <c r="A12" s="25" t="s">
        <v>65</v>
      </c>
    </row>
    <row r="13" spans="1:6" x14ac:dyDescent="0.25">
      <c r="A13" s="25" t="s">
        <v>3</v>
      </c>
    </row>
    <row r="14" spans="1:6" x14ac:dyDescent="0.25">
      <c r="A14" s="25" t="s">
        <v>4</v>
      </c>
    </row>
    <row r="15" spans="1:6" x14ac:dyDescent="0.25">
      <c r="A15" s="25" t="s">
        <v>5</v>
      </c>
    </row>
    <row r="16" spans="1:6" x14ac:dyDescent="0.25">
      <c r="A16" s="25" t="s">
        <v>66</v>
      </c>
    </row>
    <row r="17" spans="1:4" x14ac:dyDescent="0.25">
      <c r="A17" s="25" t="s">
        <v>67</v>
      </c>
    </row>
    <row r="18" spans="1:4" x14ac:dyDescent="0.25">
      <c r="A18" s="25" t="s">
        <v>68</v>
      </c>
    </row>
    <row r="19" spans="1:4" x14ac:dyDescent="0.25">
      <c r="A19" s="25" t="s">
        <v>7</v>
      </c>
    </row>
    <row r="25" spans="1:4" ht="15" customHeight="1" x14ac:dyDescent="0.25">
      <c r="C25" s="56"/>
      <c r="D25" s="58"/>
    </row>
    <row r="27" spans="1:4" x14ac:dyDescent="0.25">
      <c r="C27" s="110" t="s">
        <v>62</v>
      </c>
      <c r="D27" s="110"/>
    </row>
    <row r="28" spans="1:4" x14ac:dyDescent="0.25">
      <c r="C28" s="71" t="s">
        <v>74</v>
      </c>
      <c r="D28" s="85"/>
    </row>
    <row r="31" spans="1:4" x14ac:dyDescent="0.25">
      <c r="C31" s="110" t="s">
        <v>75</v>
      </c>
      <c r="D31" s="110"/>
    </row>
    <row r="32" spans="1:4" x14ac:dyDescent="0.25">
      <c r="C32" s="71" t="s">
        <v>76</v>
      </c>
      <c r="D32" s="86">
        <v>0.33333333333333331</v>
      </c>
    </row>
    <row r="33" spans="3:4" x14ac:dyDescent="0.25">
      <c r="C33" s="71" t="s">
        <v>77</v>
      </c>
      <c r="D33" s="86">
        <v>0.5</v>
      </c>
    </row>
    <row r="34" spans="3:4" x14ac:dyDescent="0.25">
      <c r="C34" s="84" t="s">
        <v>78</v>
      </c>
      <c r="D34" s="86">
        <v>0.54166666666666663</v>
      </c>
    </row>
    <row r="35" spans="3:4" ht="15.75" thickBot="1" x14ac:dyDescent="0.3">
      <c r="C35" s="71" t="s">
        <v>79</v>
      </c>
      <c r="D35" s="86">
        <v>0.70833333333333337</v>
      </c>
    </row>
    <row r="36" spans="3:4" ht="16.5" thickTop="1" thickBot="1" x14ac:dyDescent="0.3">
      <c r="C36" s="71" t="s">
        <v>80</v>
      </c>
      <c r="D36" s="76">
        <f>((D35-D32)-(D34-D33))*24</f>
        <v>8.0000000000000018</v>
      </c>
    </row>
    <row r="37" spans="3:4" ht="15.75" thickTop="1" x14ac:dyDescent="0.25"/>
    <row r="45" spans="3:4" x14ac:dyDescent="0.25">
      <c r="C45" s="111" t="s">
        <v>81</v>
      </c>
      <c r="D45" s="111"/>
    </row>
    <row r="46" spans="3:4" x14ac:dyDescent="0.25">
      <c r="C46" s="78" t="s">
        <v>82</v>
      </c>
      <c r="D46" s="82">
        <v>43005</v>
      </c>
    </row>
    <row r="47" spans="3:4" x14ac:dyDescent="0.25">
      <c r="C47" s="78" t="s">
        <v>83</v>
      </c>
      <c r="D47" s="87">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D9" sqref="D9"/>
    </sheetView>
  </sheetViews>
  <sheetFormatPr defaultRowHeight="15" x14ac:dyDescent="0.25"/>
  <cols>
    <col min="1" max="1" width="12.7109375" style="25" customWidth="1"/>
    <col min="2" max="2" width="82.85546875" customWidth="1"/>
    <col min="3" max="3" width="16.28515625" customWidth="1"/>
    <col min="4" max="4" width="15" customWidth="1"/>
    <col min="5" max="5" width="21" bestFit="1" customWidth="1"/>
    <col min="6" max="6" width="18.28515625" customWidth="1"/>
  </cols>
  <sheetData>
    <row r="1" spans="1:6" ht="60" customHeight="1" x14ac:dyDescent="0.25">
      <c r="A1" s="25" t="s">
        <v>84</v>
      </c>
      <c r="C1" s="56"/>
      <c r="D1" s="58"/>
      <c r="E1" s="58"/>
      <c r="F1" s="58"/>
    </row>
    <row r="2" spans="1:6" x14ac:dyDescent="0.25">
      <c r="A2" s="25" t="s">
        <v>85</v>
      </c>
      <c r="C2" s="7" t="s">
        <v>96</v>
      </c>
      <c r="D2" s="7" t="s">
        <v>108</v>
      </c>
      <c r="E2" s="7" t="s">
        <v>117</v>
      </c>
      <c r="F2" s="7" t="s">
        <v>118</v>
      </c>
    </row>
    <row r="3" spans="1:6" x14ac:dyDescent="0.25">
      <c r="A3" s="25" t="s">
        <v>86</v>
      </c>
      <c r="C3" s="71" t="s">
        <v>97</v>
      </c>
      <c r="D3" s="71" t="s">
        <v>109</v>
      </c>
      <c r="E3" s="77" t="str">
        <f>D3&amp;", "&amp;C3</f>
        <v>Cardoso, Lara</v>
      </c>
      <c r="F3" s="50" t="str">
        <f>C3&amp;" "&amp;D3</f>
        <v>Lara Cardoso</v>
      </c>
    </row>
    <row r="4" spans="1:6" x14ac:dyDescent="0.25">
      <c r="A4" s="25" t="s">
        <v>87</v>
      </c>
      <c r="C4" s="71" t="s">
        <v>98</v>
      </c>
      <c r="D4" s="71" t="s">
        <v>110</v>
      </c>
      <c r="E4" s="77"/>
      <c r="F4" s="50"/>
    </row>
    <row r="5" spans="1:6" x14ac:dyDescent="0.25">
      <c r="A5" s="25" t="s">
        <v>88</v>
      </c>
      <c r="C5" s="71" t="s">
        <v>99</v>
      </c>
      <c r="D5" s="71" t="s">
        <v>111</v>
      </c>
      <c r="E5" s="77"/>
      <c r="F5" s="50"/>
    </row>
    <row r="6" spans="1:6" x14ac:dyDescent="0.25">
      <c r="A6" s="25" t="s">
        <v>1</v>
      </c>
      <c r="C6" s="71" t="s">
        <v>100</v>
      </c>
      <c r="D6" s="71" t="s">
        <v>112</v>
      </c>
      <c r="E6" s="77"/>
      <c r="F6" s="50"/>
    </row>
    <row r="7" spans="1:6" x14ac:dyDescent="0.25">
      <c r="A7" s="25" t="s">
        <v>4</v>
      </c>
      <c r="C7" s="71" t="s">
        <v>101</v>
      </c>
      <c r="D7" s="71" t="s">
        <v>113</v>
      </c>
      <c r="E7" s="77"/>
      <c r="F7" s="50"/>
    </row>
    <row r="8" spans="1:6" x14ac:dyDescent="0.25">
      <c r="A8" s="25" t="s">
        <v>89</v>
      </c>
      <c r="C8" s="71" t="s">
        <v>102</v>
      </c>
      <c r="D8" s="71" t="s">
        <v>114</v>
      </c>
      <c r="E8" s="77"/>
      <c r="F8" s="50"/>
    </row>
    <row r="9" spans="1:6" x14ac:dyDescent="0.25">
      <c r="A9" s="25" t="s">
        <v>90</v>
      </c>
      <c r="C9" s="71" t="s">
        <v>103</v>
      </c>
      <c r="D9" s="71" t="s">
        <v>115</v>
      </c>
      <c r="E9" s="77"/>
      <c r="F9" s="50"/>
    </row>
    <row r="10" spans="1:6" x14ac:dyDescent="0.25">
      <c r="A10" s="25" t="s">
        <v>91</v>
      </c>
      <c r="C10" s="71" t="s">
        <v>104</v>
      </c>
      <c r="D10" s="71" t="s">
        <v>116</v>
      </c>
      <c r="E10" s="77"/>
      <c r="F10" s="50"/>
    </row>
    <row r="11" spans="1:6" ht="15" customHeight="1" x14ac:dyDescent="0.25">
      <c r="A11" s="27" t="s">
        <v>239</v>
      </c>
    </row>
    <row r="12" spans="1:6" x14ac:dyDescent="0.25">
      <c r="A12" s="25" t="s">
        <v>92</v>
      </c>
    </row>
    <row r="13" spans="1:6" ht="15" customHeight="1" x14ac:dyDescent="0.25">
      <c r="A13" s="27" t="s">
        <v>93</v>
      </c>
    </row>
    <row r="14" spans="1:6" x14ac:dyDescent="0.25">
      <c r="A14" s="25" t="s">
        <v>5</v>
      </c>
    </row>
    <row r="15" spans="1:6" x14ac:dyDescent="0.25">
      <c r="A15" s="25" t="s">
        <v>94</v>
      </c>
    </row>
    <row r="16" spans="1:6" x14ac:dyDescent="0.25">
      <c r="A16" s="25" t="s">
        <v>95</v>
      </c>
    </row>
    <row r="17" spans="1:4" x14ac:dyDescent="0.25">
      <c r="A17" s="25" t="s">
        <v>7</v>
      </c>
    </row>
    <row r="21" spans="1:4" x14ac:dyDescent="0.25">
      <c r="D21" s="12"/>
    </row>
    <row r="27" spans="1:4" x14ac:dyDescent="0.25">
      <c r="C27" s="110" t="s">
        <v>105</v>
      </c>
      <c r="D27" s="110"/>
    </row>
    <row r="28" spans="1:4" x14ac:dyDescent="0.25">
      <c r="C28" s="71" t="s">
        <v>69</v>
      </c>
      <c r="D28" s="80">
        <f ca="1">TODAY()</f>
        <v>46044</v>
      </c>
    </row>
    <row r="29" spans="1:4" x14ac:dyDescent="0.25">
      <c r="C29" s="71" t="s">
        <v>74</v>
      </c>
      <c r="D29" s="88">
        <f ca="1">NOW()</f>
        <v>46044.786415740738</v>
      </c>
    </row>
    <row r="31" spans="1:4" x14ac:dyDescent="0.25">
      <c r="C31" s="111" t="s">
        <v>106</v>
      </c>
      <c r="D31" s="111"/>
    </row>
    <row r="32" spans="1:4" x14ac:dyDescent="0.25">
      <c r="C32" s="71" t="str">
        <f ca="1">C28&amp;" "&amp;D28</f>
        <v>Data de hoje: 46044</v>
      </c>
      <c r="D32" s="71"/>
    </row>
    <row r="33" spans="3:4" x14ac:dyDescent="0.25">
      <c r="C33" s="71" t="str">
        <f ca="1">C29&amp;" "&amp;D29</f>
        <v>Hora atual: 46044,7864157407</v>
      </c>
      <c r="D33" s="71"/>
    </row>
    <row r="35" spans="3:4" x14ac:dyDescent="0.25">
      <c r="C35" s="112" t="s">
        <v>107</v>
      </c>
      <c r="D35" s="112"/>
    </row>
    <row r="36" spans="3:4" x14ac:dyDescent="0.25">
      <c r="C36" s="50" t="str">
        <f ca="1">C28 &amp;" "&amp; TEXT(D28,"DD/MM/AAAA")</f>
        <v>Data de hoje: 22/01/2026</v>
      </c>
      <c r="D36" s="50"/>
    </row>
    <row r="37" spans="3:4" x14ac:dyDescent="0.25">
      <c r="C37" s="50" t="str">
        <f ca="1">C29&amp;" "&amp;TEXT(D29,"H:MM")</f>
        <v>Hora atual: 18:52</v>
      </c>
      <c r="D37" s="50"/>
    </row>
  </sheetData>
  <mergeCells count="3">
    <mergeCell ref="C27:D27"/>
    <mergeCell ref="C31:D31"/>
    <mergeCell ref="C35:D35"/>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5" x14ac:dyDescent="0.25"/>
  <cols>
    <col min="1" max="1" width="12.7109375" customWidth="1"/>
    <col min="2" max="2" width="82.85546875" customWidth="1"/>
    <col min="3" max="3" width="17.140625" customWidth="1"/>
    <col min="4" max="4" width="26.140625" bestFit="1" customWidth="1"/>
  </cols>
  <sheetData>
    <row r="1" spans="1:6" ht="60" customHeight="1" x14ac:dyDescent="0.25">
      <c r="A1" s="25" t="s">
        <v>119</v>
      </c>
      <c r="D1" s="58"/>
    </row>
    <row r="2" spans="1:6" x14ac:dyDescent="0.25">
      <c r="A2" s="25" t="s">
        <v>120</v>
      </c>
      <c r="E2" s="30"/>
      <c r="F2" s="30"/>
    </row>
    <row r="3" spans="1:6" ht="15" customHeight="1" x14ac:dyDescent="0.25">
      <c r="A3" s="27" t="s">
        <v>121</v>
      </c>
      <c r="E3" s="30"/>
      <c r="F3" s="30"/>
    </row>
    <row r="4" spans="1:6" ht="15" customHeight="1" x14ac:dyDescent="0.25">
      <c r="A4" s="27" t="s">
        <v>122</v>
      </c>
      <c r="E4" s="30"/>
      <c r="F4" s="30"/>
    </row>
    <row r="5" spans="1:6" ht="15" customHeight="1" x14ac:dyDescent="0.25">
      <c r="A5" s="27" t="s">
        <v>123</v>
      </c>
      <c r="C5" s="67"/>
      <c r="E5" s="30"/>
      <c r="F5" s="30"/>
    </row>
    <row r="6" spans="1:6" ht="15" customHeight="1" x14ac:dyDescent="0.25">
      <c r="A6" s="27" t="s">
        <v>124</v>
      </c>
      <c r="E6" s="30"/>
      <c r="F6" s="30"/>
    </row>
    <row r="7" spans="1:6" x14ac:dyDescent="0.25">
      <c r="A7" s="25" t="s">
        <v>1</v>
      </c>
      <c r="C7" s="30"/>
      <c r="D7" s="30"/>
      <c r="E7" s="30"/>
      <c r="F7" s="30"/>
    </row>
    <row r="8" spans="1:6" x14ac:dyDescent="0.25">
      <c r="A8" s="25" t="s">
        <v>4</v>
      </c>
      <c r="C8" s="113" t="s">
        <v>119</v>
      </c>
      <c r="D8" s="113"/>
    </row>
    <row r="9" spans="1:6" x14ac:dyDescent="0.25">
      <c r="A9" s="25" t="s">
        <v>125</v>
      </c>
      <c r="C9" s="79" t="s">
        <v>135</v>
      </c>
      <c r="D9" s="42"/>
    </row>
    <row r="10" spans="1:6" x14ac:dyDescent="0.25">
      <c r="A10" s="25" t="s">
        <v>126</v>
      </c>
      <c r="C10" s="79" t="s">
        <v>136</v>
      </c>
      <c r="D10" s="42"/>
    </row>
    <row r="11" spans="1:6" ht="15" customHeight="1" thickBot="1" x14ac:dyDescent="0.3">
      <c r="A11" s="27" t="s">
        <v>127</v>
      </c>
      <c r="C11" s="30"/>
      <c r="D11" s="30"/>
    </row>
    <row r="12" spans="1:6" ht="15" customHeight="1" thickTop="1" thickBot="1" x14ac:dyDescent="0.3">
      <c r="A12" s="27" t="s">
        <v>128</v>
      </c>
      <c r="C12" s="48">
        <v>50</v>
      </c>
      <c r="D12" s="42" t="str">
        <f>IF(C12&lt;100,"Menor que 100","Maior ou igual a 100")</f>
        <v>Menor que 100</v>
      </c>
    </row>
    <row r="13" spans="1:6" ht="15" customHeight="1" thickTop="1" x14ac:dyDescent="0.25">
      <c r="A13" s="27" t="s">
        <v>129</v>
      </c>
    </row>
    <row r="14" spans="1:6" x14ac:dyDescent="0.25">
      <c r="A14" s="25" t="s">
        <v>130</v>
      </c>
    </row>
    <row r="15" spans="1:6" ht="15" customHeight="1" x14ac:dyDescent="0.25">
      <c r="A15" s="27" t="s">
        <v>131</v>
      </c>
    </row>
    <row r="16" spans="1:6" x14ac:dyDescent="0.25">
      <c r="A16" s="25" t="s">
        <v>3</v>
      </c>
    </row>
    <row r="17" spans="1:6" x14ac:dyDescent="0.25">
      <c r="A17" s="25" t="s">
        <v>4</v>
      </c>
    </row>
    <row r="18" spans="1:6" x14ac:dyDescent="0.25">
      <c r="A18" s="25" t="s">
        <v>5</v>
      </c>
      <c r="C18" s="12"/>
    </row>
    <row r="19" spans="1:6" x14ac:dyDescent="0.25">
      <c r="A19" s="25" t="s">
        <v>132</v>
      </c>
    </row>
    <row r="20" spans="1:6" x14ac:dyDescent="0.25">
      <c r="A20" s="25" t="s">
        <v>133</v>
      </c>
    </row>
    <row r="21" spans="1:6" x14ac:dyDescent="0.25">
      <c r="A21" s="25" t="s">
        <v>134</v>
      </c>
    </row>
    <row r="22" spans="1:6" x14ac:dyDescent="0.25">
      <c r="A22" s="25" t="s">
        <v>7</v>
      </c>
    </row>
    <row r="26" spans="1:6" ht="15.75" thickBot="1" x14ac:dyDescent="0.3"/>
    <row r="27" spans="1:6" ht="15.75" thickBot="1" x14ac:dyDescent="0.3">
      <c r="C27" s="53" t="s">
        <v>14</v>
      </c>
      <c r="D27" s="54" t="s">
        <v>139</v>
      </c>
      <c r="E27" s="54" t="s">
        <v>144</v>
      </c>
      <c r="F27" s="54" t="s">
        <v>143</v>
      </c>
    </row>
    <row r="28" spans="1:6" x14ac:dyDescent="0.25">
      <c r="C28" s="55" t="s">
        <v>137</v>
      </c>
      <c r="D28" s="55">
        <v>2</v>
      </c>
      <c r="E28" s="89">
        <v>9.7607115856835538</v>
      </c>
      <c r="F28" s="89">
        <f>'Instruções SE'!$E$28:$E$29*'Instruções SE'!$D$28:$D$29</f>
        <v>19.521423171367108</v>
      </c>
    </row>
    <row r="29" spans="1:6" ht="15.75" thickBot="1" x14ac:dyDescent="0.3">
      <c r="C29" s="51" t="s">
        <v>138</v>
      </c>
      <c r="D29" s="51">
        <v>3</v>
      </c>
      <c r="E29" s="90">
        <v>3.4189202461080024</v>
      </c>
      <c r="F29" s="90">
        <f>'Instruções SE'!$E$28:$E$29*'Instruções SE'!$D$28:$D$29</f>
        <v>10.256760738324008</v>
      </c>
    </row>
    <row r="30" spans="1:6" x14ac:dyDescent="0.25">
      <c r="C30" s="30"/>
      <c r="D30" s="30"/>
      <c r="E30" s="30"/>
      <c r="F30" s="30"/>
    </row>
    <row r="31" spans="1:6" x14ac:dyDescent="0.25">
      <c r="C31" s="30"/>
      <c r="D31" s="30" t="s">
        <v>140</v>
      </c>
      <c r="E31" s="91">
        <f>SUM('Instruções SE'!$E$28:$E$29)</f>
        <v>13.179631831791557</v>
      </c>
      <c r="F31" s="91">
        <f>SUM('Instruções SE'!F28:F29)</f>
        <v>29.778183909691116</v>
      </c>
    </row>
    <row r="32" spans="1:6" ht="15.75" thickBot="1" x14ac:dyDescent="0.3">
      <c r="C32" s="30"/>
      <c r="D32" s="30"/>
      <c r="E32" s="30"/>
      <c r="F32" s="30"/>
    </row>
    <row r="33" spans="3:6" ht="16.5" thickTop="1" thickBot="1" x14ac:dyDescent="0.3">
      <c r="C33" s="30"/>
      <c r="D33" s="30" t="s">
        <v>141</v>
      </c>
      <c r="E33" s="48" t="s">
        <v>145</v>
      </c>
      <c r="F33" s="92" t="e">
        <f>IF(E33="Sim",F31*ImpostoSobreVendas,0)</f>
        <v>#NAME?</v>
      </c>
    </row>
    <row r="34" spans="3:6" ht="16.5" thickTop="1" thickBot="1" x14ac:dyDescent="0.3">
      <c r="C34" s="30"/>
      <c r="D34" s="30"/>
      <c r="E34" s="30"/>
      <c r="F34" s="30"/>
    </row>
    <row r="35" spans="3:6" ht="16.5" thickTop="1" thickBot="1" x14ac:dyDescent="0.3">
      <c r="C35" s="30"/>
      <c r="D35" s="30" t="s">
        <v>142</v>
      </c>
      <c r="E35" s="48" t="s">
        <v>145</v>
      </c>
      <c r="F35" s="92">
        <f>IF(E35="Sim",SUM(D28:D29)*1.25,0)</f>
        <v>6.25</v>
      </c>
    </row>
    <row r="36" spans="3:6" ht="15.75" thickTop="1" x14ac:dyDescent="0.25"/>
    <row r="37" spans="3:6" x14ac:dyDescent="0.25">
      <c r="D37" s="30" t="s">
        <v>143</v>
      </c>
      <c r="E37" s="30"/>
      <c r="F37" s="91" t="e">
        <f>SUM(F33,F31,F35)</f>
        <v>#NAME?</v>
      </c>
    </row>
  </sheetData>
  <mergeCells count="1">
    <mergeCell ref="C8:D8"/>
  </mergeCells>
  <dataValidations disablePrompts="1" count="1">
    <dataValidation type="list" allowBlank="1" showInputMessage="1" showErrorMessage="1" sqref="E33 E35"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9" sqref="D9"/>
    </sheetView>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146</v>
      </c>
      <c r="B1" s="32"/>
      <c r="D1" s="57"/>
      <c r="E1" s="57"/>
      <c r="F1" s="57"/>
      <c r="G1" s="57"/>
    </row>
    <row r="2" spans="1:7" ht="15" customHeight="1" x14ac:dyDescent="0.25">
      <c r="A2" s="9" t="s">
        <v>147</v>
      </c>
      <c r="B2" s="32"/>
    </row>
    <row r="3" spans="1:7" ht="15" customHeight="1" x14ac:dyDescent="0.25">
      <c r="A3" s="9" t="s">
        <v>148</v>
      </c>
      <c r="B3" s="32"/>
    </row>
    <row r="4" spans="1:7" ht="15" customHeight="1" x14ac:dyDescent="0.25">
      <c r="A4" s="9" t="s">
        <v>149</v>
      </c>
      <c r="B4" s="32"/>
    </row>
    <row r="5" spans="1:7" s="4" customFormat="1" ht="15" customHeight="1" x14ac:dyDescent="0.25">
      <c r="A5" s="24" t="s">
        <v>150</v>
      </c>
      <c r="B5" s="33"/>
    </row>
    <row r="6" spans="1:7" s="4" customFormat="1" ht="15" customHeight="1" x14ac:dyDescent="0.25">
      <c r="A6" s="24" t="s">
        <v>151</v>
      </c>
      <c r="B6" s="33"/>
    </row>
    <row r="7" spans="1:7" s="4" customFormat="1" ht="15" customHeight="1" x14ac:dyDescent="0.25">
      <c r="A7" s="24" t="s">
        <v>152</v>
      </c>
      <c r="B7" s="33"/>
    </row>
    <row r="8" spans="1:7" s="4" customFormat="1" ht="15" customHeight="1" x14ac:dyDescent="0.25">
      <c r="A8" s="63" t="s">
        <v>153</v>
      </c>
      <c r="B8" s="33"/>
    </row>
    <row r="9" spans="1:7" s="4" customFormat="1" ht="15" customHeight="1" x14ac:dyDescent="0.25">
      <c r="A9" s="63" t="s">
        <v>154</v>
      </c>
      <c r="B9" s="33"/>
    </row>
    <row r="10" spans="1:7" s="4" customFormat="1" ht="15" customHeight="1" x14ac:dyDescent="0.25">
      <c r="A10" s="24" t="s">
        <v>155</v>
      </c>
      <c r="B10" s="33"/>
    </row>
    <row r="11" spans="1:7" s="4" customFormat="1" ht="15" customHeight="1" x14ac:dyDescent="0.25">
      <c r="A11" s="24" t="s">
        <v>1</v>
      </c>
      <c r="B11" s="33"/>
    </row>
    <row r="12" spans="1:7" s="4" customFormat="1" ht="15" customHeight="1" x14ac:dyDescent="0.25">
      <c r="A12" s="24" t="s">
        <v>4</v>
      </c>
      <c r="B12" s="33"/>
    </row>
    <row r="13" spans="1:7" s="4" customFormat="1" ht="15" customHeight="1" x14ac:dyDescent="0.25">
      <c r="A13" s="24" t="s">
        <v>156</v>
      </c>
      <c r="B13" s="33"/>
      <c r="C13" s="67"/>
      <c r="D13" s="70"/>
      <c r="E13" s="70"/>
      <c r="F13" s="70"/>
      <c r="G13" s="70"/>
    </row>
    <row r="14" spans="1:7" s="4" customFormat="1" ht="15" customHeight="1" x14ac:dyDescent="0.25">
      <c r="A14" s="24" t="s">
        <v>157</v>
      </c>
      <c r="B14" s="33"/>
      <c r="C14" s="70"/>
      <c r="D14" s="70"/>
      <c r="E14" s="70"/>
      <c r="F14" s="70"/>
      <c r="G14" s="70"/>
    </row>
    <row r="15" spans="1:7" s="4" customFormat="1" ht="15" customHeight="1" x14ac:dyDescent="0.25">
      <c r="A15" s="63" t="s">
        <v>158</v>
      </c>
      <c r="B15" s="33"/>
    </row>
    <row r="16" spans="1:7" s="4" customFormat="1" ht="15" customHeight="1" x14ac:dyDescent="0.25">
      <c r="A16" s="27" t="s">
        <v>159</v>
      </c>
      <c r="B16" s="33"/>
      <c r="C16" s="31" t="s">
        <v>9</v>
      </c>
      <c r="D16" s="29" t="s">
        <v>20</v>
      </c>
      <c r="E16" s="23"/>
      <c r="F16" s="28" t="s">
        <v>22</v>
      </c>
      <c r="G16" s="29" t="s">
        <v>20</v>
      </c>
    </row>
    <row r="17" spans="1:12" s="4" customFormat="1" ht="15" customHeight="1" x14ac:dyDescent="0.25">
      <c r="A17" s="24" t="s">
        <v>160</v>
      </c>
      <c r="C17" s="75" t="s">
        <v>10</v>
      </c>
      <c r="D17" s="74">
        <v>50</v>
      </c>
      <c r="E17" s="34"/>
      <c r="F17" s="75" t="s">
        <v>23</v>
      </c>
      <c r="G17" s="74">
        <v>50</v>
      </c>
      <c r="H17" s="33"/>
      <c r="I17" s="33"/>
      <c r="J17" s="33"/>
      <c r="K17" s="33"/>
      <c r="L17" s="33"/>
    </row>
    <row r="18" spans="1:12" s="4" customFormat="1" ht="15" customHeight="1" x14ac:dyDescent="0.25">
      <c r="A18" s="24" t="s">
        <v>3</v>
      </c>
      <c r="C18" s="75" t="s">
        <v>11</v>
      </c>
      <c r="D18" s="74">
        <v>20</v>
      </c>
      <c r="E18" s="34"/>
      <c r="F18" s="75" t="s">
        <v>24</v>
      </c>
      <c r="G18" s="74">
        <v>30</v>
      </c>
      <c r="H18" s="33"/>
      <c r="I18" s="33"/>
      <c r="J18" s="33"/>
      <c r="K18" s="33"/>
      <c r="L18" s="33"/>
    </row>
    <row r="19" spans="1:12" s="4" customFormat="1" ht="15" customHeight="1" x14ac:dyDescent="0.25">
      <c r="A19" s="24" t="s">
        <v>4</v>
      </c>
      <c r="C19" s="75" t="s">
        <v>12</v>
      </c>
      <c r="D19" s="74">
        <v>60</v>
      </c>
      <c r="E19" s="34"/>
      <c r="F19" s="75" t="s">
        <v>25</v>
      </c>
      <c r="G19" s="74">
        <v>10</v>
      </c>
      <c r="H19" s="33"/>
      <c r="I19" s="33"/>
      <c r="J19" s="33"/>
      <c r="K19" s="33"/>
      <c r="L19" s="33"/>
    </row>
    <row r="20" spans="1:12" s="4" customFormat="1" ht="15" customHeight="1" x14ac:dyDescent="0.25">
      <c r="A20" s="24" t="s">
        <v>5</v>
      </c>
      <c r="C20" s="75" t="s">
        <v>13</v>
      </c>
      <c r="D20" s="74">
        <v>40</v>
      </c>
      <c r="E20" s="34"/>
      <c r="F20" s="75" t="s">
        <v>26</v>
      </c>
      <c r="G20" s="74">
        <v>50</v>
      </c>
      <c r="H20" s="33"/>
      <c r="I20" s="33"/>
      <c r="J20" s="33"/>
      <c r="K20" s="33"/>
      <c r="L20" s="33"/>
    </row>
    <row r="21" spans="1:12" s="4" customFormat="1" ht="15" customHeight="1" thickBot="1" x14ac:dyDescent="0.3">
      <c r="A21" s="24" t="s">
        <v>161</v>
      </c>
      <c r="C21" s="33"/>
      <c r="D21" s="33"/>
      <c r="E21" s="33"/>
      <c r="F21" s="33"/>
      <c r="G21" s="33"/>
      <c r="H21" s="33"/>
      <c r="I21" s="33"/>
      <c r="J21" s="33"/>
      <c r="K21" s="33"/>
      <c r="L21" s="33"/>
    </row>
    <row r="22" spans="1:12" s="4" customFormat="1" ht="15" customHeight="1" thickTop="1" thickBot="1" x14ac:dyDescent="0.3">
      <c r="A22" s="24" t="s">
        <v>162</v>
      </c>
      <c r="C22" s="49" t="s">
        <v>10</v>
      </c>
      <c r="D22" s="37"/>
      <c r="E22" s="34"/>
      <c r="F22" s="49" t="s">
        <v>25</v>
      </c>
      <c r="G22" s="37"/>
      <c r="H22" s="33"/>
      <c r="I22" s="33"/>
      <c r="J22" s="33"/>
      <c r="K22" s="33"/>
      <c r="L22" s="33"/>
    </row>
    <row r="23" spans="1:12" s="4" customFormat="1" ht="15" customHeight="1" thickTop="1" x14ac:dyDescent="0.25">
      <c r="A23" s="24" t="s">
        <v>163</v>
      </c>
      <c r="C23" s="33"/>
      <c r="D23" s="34"/>
      <c r="E23" s="34"/>
      <c r="F23" s="33"/>
      <c r="G23" s="34"/>
      <c r="H23" s="33"/>
      <c r="I23" s="33"/>
      <c r="J23" s="33"/>
      <c r="K23" s="33"/>
      <c r="L23" s="33"/>
    </row>
    <row r="24" spans="1:12" s="4" customFormat="1" ht="15" customHeight="1" x14ac:dyDescent="0.25">
      <c r="A24" s="24" t="s">
        <v>164</v>
      </c>
      <c r="H24" s="33"/>
      <c r="I24" s="33"/>
      <c r="J24" s="33"/>
      <c r="K24" s="33"/>
      <c r="L24" s="33"/>
    </row>
    <row r="25" spans="1:12" s="4" customFormat="1" ht="15" customHeight="1" x14ac:dyDescent="0.25">
      <c r="A25" s="24" t="s">
        <v>7</v>
      </c>
      <c r="H25" s="33"/>
      <c r="I25" s="33"/>
      <c r="J25" s="33"/>
      <c r="K25" s="33"/>
      <c r="L25" s="33"/>
    </row>
    <row r="26" spans="1:12" ht="15" customHeight="1" x14ac:dyDescent="0.25">
      <c r="C26" s="4"/>
      <c r="E26" s="4"/>
      <c r="F26" s="4"/>
      <c r="G26" s="4"/>
      <c r="H26" s="32"/>
      <c r="I26" s="33"/>
      <c r="J26" s="33"/>
      <c r="K26" s="33"/>
      <c r="L26" s="33"/>
    </row>
    <row r="27" spans="1:12" ht="15" customHeight="1" x14ac:dyDescent="0.25">
      <c r="C27" s="4"/>
      <c r="E27" s="4"/>
      <c r="F27" s="4"/>
      <c r="G27" s="4"/>
      <c r="H27" s="32"/>
      <c r="I27" s="32"/>
      <c r="J27" s="32"/>
      <c r="K27" s="32"/>
      <c r="L27" s="32"/>
    </row>
    <row r="28" spans="1:12" ht="15" customHeight="1" x14ac:dyDescent="0.25">
      <c r="C28" s="4"/>
      <c r="E28" s="4"/>
      <c r="F28" s="4"/>
      <c r="G28" s="4"/>
      <c r="H28" s="32"/>
      <c r="I28" s="32"/>
      <c r="J28" s="32"/>
      <c r="K28" s="32"/>
      <c r="L28" s="32"/>
    </row>
    <row r="29" spans="1:12" ht="15" customHeight="1" x14ac:dyDescent="0.25">
      <c r="H29" s="32"/>
      <c r="I29" s="32"/>
      <c r="J29" s="32"/>
      <c r="K29" s="32"/>
      <c r="L29" s="32"/>
    </row>
    <row r="30" spans="1:12" ht="15" customHeight="1" x14ac:dyDescent="0.25">
      <c r="H30" s="32"/>
      <c r="I30" s="32"/>
      <c r="J30" s="32"/>
      <c r="K30" s="32"/>
      <c r="L30" s="32"/>
    </row>
    <row r="31" spans="1:12" ht="15" customHeight="1" x14ac:dyDescent="0.25">
      <c r="H31" s="32"/>
      <c r="I31" s="32"/>
      <c r="J31" s="32"/>
      <c r="K31" s="32"/>
      <c r="L31" s="32"/>
    </row>
    <row r="32" spans="1:12" ht="15" customHeight="1" x14ac:dyDescent="0.25">
      <c r="H32" s="32"/>
      <c r="I32" s="32"/>
      <c r="J32" s="32"/>
      <c r="K32" s="32"/>
      <c r="L32" s="32"/>
    </row>
    <row r="33" spans="2:7" ht="15" customHeight="1" x14ac:dyDescent="0.25">
      <c r="B33" s="32"/>
      <c r="C33" s="68"/>
      <c r="D33" s="69"/>
      <c r="E33" s="69"/>
      <c r="F33" s="69"/>
      <c r="G33" s="69"/>
    </row>
    <row r="34" spans="2:7" ht="15" customHeight="1" x14ac:dyDescent="0.25">
      <c r="B34" s="32"/>
      <c r="C34" s="69"/>
      <c r="D34" s="69"/>
      <c r="E34" s="69"/>
      <c r="F34" s="69"/>
      <c r="G34" s="69"/>
    </row>
    <row r="35" spans="2:7" ht="15" customHeight="1" x14ac:dyDescent="0.25">
      <c r="B35" s="32"/>
      <c r="C35" s="59" t="s">
        <v>41</v>
      </c>
      <c r="D35" s="57"/>
      <c r="E35" s="57"/>
      <c r="F35" s="57"/>
      <c r="G35" s="57"/>
    </row>
    <row r="36" spans="2:7" ht="15" customHeight="1" x14ac:dyDescent="0.25">
      <c r="B36" s="32"/>
      <c r="C36" s="31" t="s">
        <v>14</v>
      </c>
      <c r="D36" s="29" t="s">
        <v>20</v>
      </c>
      <c r="E36" s="23"/>
      <c r="F36" s="28" t="s">
        <v>14</v>
      </c>
      <c r="G36" s="29" t="s">
        <v>20</v>
      </c>
    </row>
    <row r="37" spans="2:7" ht="15" customHeight="1" x14ac:dyDescent="0.25">
      <c r="B37" s="32"/>
      <c r="C37" s="75" t="s">
        <v>15</v>
      </c>
      <c r="D37" s="74">
        <v>50</v>
      </c>
      <c r="E37" s="34"/>
      <c r="F37" s="75" t="s">
        <v>15</v>
      </c>
      <c r="G37" s="74">
        <v>50</v>
      </c>
    </row>
    <row r="38" spans="2:7" ht="15" customHeight="1" x14ac:dyDescent="0.25">
      <c r="B38" s="32"/>
      <c r="C38" s="75" t="s">
        <v>16</v>
      </c>
      <c r="D38" s="74">
        <v>100</v>
      </c>
      <c r="E38" s="34"/>
      <c r="F38" s="75" t="s">
        <v>16</v>
      </c>
      <c r="G38" s="74">
        <v>100</v>
      </c>
    </row>
    <row r="39" spans="2:7" ht="15" customHeight="1" x14ac:dyDescent="0.25">
      <c r="B39" s="32"/>
      <c r="C39" s="75" t="s">
        <v>17</v>
      </c>
      <c r="D39" s="74">
        <v>40</v>
      </c>
      <c r="E39" s="34"/>
      <c r="F39" s="75" t="s">
        <v>17</v>
      </c>
      <c r="G39" s="74">
        <v>40</v>
      </c>
    </row>
    <row r="40" spans="2:7" ht="15" customHeight="1" x14ac:dyDescent="0.25">
      <c r="C40" s="75" t="s">
        <v>18</v>
      </c>
      <c r="D40" s="74">
        <v>50</v>
      </c>
      <c r="E40" s="34"/>
      <c r="F40" s="75" t="s">
        <v>18</v>
      </c>
      <c r="G40" s="74">
        <v>50</v>
      </c>
    </row>
    <row r="41" spans="2:7" ht="15" customHeight="1" x14ac:dyDescent="0.25">
      <c r="C41" s="75" t="s">
        <v>19</v>
      </c>
      <c r="D41" s="74">
        <v>20</v>
      </c>
      <c r="E41" s="34"/>
      <c r="F41" s="75" t="s">
        <v>19</v>
      </c>
      <c r="G41" s="74">
        <v>20</v>
      </c>
    </row>
    <row r="42" spans="2:7" ht="15" customHeight="1" thickBot="1" x14ac:dyDescent="0.3">
      <c r="C42" s="33"/>
      <c r="D42" s="33"/>
      <c r="E42" s="33"/>
      <c r="F42" s="33"/>
      <c r="G42" s="33"/>
    </row>
    <row r="43" spans="2:7" ht="15" customHeight="1" thickTop="1" thickBot="1" x14ac:dyDescent="0.3">
      <c r="B43" s="32"/>
      <c r="C43" s="49"/>
      <c r="D43" s="37" t="e">
        <f>VLOOKUP(C43,C37:D41,2,FALSE)</f>
        <v>#N/A</v>
      </c>
      <c r="E43" s="34"/>
      <c r="F43" s="60" t="s">
        <v>165</v>
      </c>
      <c r="G43" s="37" t="str">
        <f>IFERROR(VLOOKUP(F43,F37:G41,2,FALSE),"")</f>
        <v/>
      </c>
    </row>
    <row r="44" spans="2:7" ht="15" customHeight="1" thickTop="1" x14ac:dyDescent="0.25">
      <c r="B44" s="32"/>
      <c r="C44" s="32"/>
      <c r="D44" s="33"/>
      <c r="E44" s="32"/>
      <c r="F44" s="32"/>
      <c r="G44" s="32"/>
    </row>
    <row r="45" spans="2:7" ht="15" customHeight="1" x14ac:dyDescent="0.25">
      <c r="B45" s="32"/>
      <c r="C45" s="32"/>
      <c r="D45" s="33"/>
      <c r="E45" s="32"/>
      <c r="F45" s="32"/>
      <c r="G45" s="32"/>
    </row>
    <row r="46" spans="2:7" ht="15" customHeight="1" x14ac:dyDescent="0.25">
      <c r="B46" s="32"/>
      <c r="C46" s="32"/>
      <c r="D46" s="33"/>
      <c r="E46" s="32"/>
      <c r="F46" s="32"/>
      <c r="G46" s="32"/>
    </row>
    <row r="47" spans="2:7" ht="15" customHeight="1" x14ac:dyDescent="0.25">
      <c r="B47" s="32"/>
      <c r="C47" s="32"/>
      <c r="D47" s="33"/>
      <c r="E47" s="32"/>
      <c r="F47" s="32"/>
      <c r="G47" s="32"/>
    </row>
    <row r="48" spans="2:7" ht="15" customHeight="1" x14ac:dyDescent="0.25">
      <c r="B48" s="32"/>
      <c r="C48" s="32"/>
      <c r="D48" s="33"/>
      <c r="E48" s="32"/>
      <c r="F48" s="32"/>
      <c r="G48" s="32"/>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9" sqref="D9"/>
    </sheetView>
  </sheetViews>
  <sheetFormatPr defaultColWidth="8.85546875" defaultRowHeight="15" x14ac:dyDescent="0.25"/>
  <cols>
    <col min="1" max="1" width="12.7109375" style="9" customWidth="1"/>
    <col min="2" max="2" width="82.85546875" style="22" customWidth="1"/>
    <col min="3" max="4" width="12.7109375" style="18" customWidth="1"/>
    <col min="5" max="5" width="12.42578125" style="18" bestFit="1" customWidth="1"/>
    <col min="6" max="6" width="12.7109375" style="18" customWidth="1"/>
    <col min="7" max="7" width="10" style="18" customWidth="1"/>
    <col min="8" max="8" width="12.7109375" style="18" customWidth="1"/>
    <col min="9" max="25" width="8.85546875" style="18"/>
    <col min="26" max="26" width="8.28515625" style="18" hidden="1" customWidth="1"/>
    <col min="27" max="27" width="2.28515625" style="18" hidden="1" customWidth="1"/>
    <col min="28" max="28" width="8.85546875" style="18" hidden="1" customWidth="1"/>
    <col min="29" max="29" width="2.28515625" style="18" hidden="1" customWidth="1"/>
    <col min="30" max="30" width="10.42578125" style="18" hidden="1" customWidth="1"/>
    <col min="31" max="31" width="2.28515625" style="18" hidden="1" customWidth="1"/>
    <col min="32" max="32" width="10.5703125" style="18" hidden="1" customWidth="1"/>
    <col min="33" max="33" width="2.28515625" style="18" hidden="1" customWidth="1"/>
    <col min="34" max="34" width="9.5703125" style="18" hidden="1" customWidth="1"/>
    <col min="35" max="16384" width="8.85546875" style="18"/>
  </cols>
  <sheetData>
    <row r="1" spans="1:34" ht="60" customHeight="1" x14ac:dyDescent="0.25">
      <c r="A1" s="25" t="s">
        <v>166</v>
      </c>
      <c r="B1" s="9"/>
      <c r="C1" s="56"/>
      <c r="D1" s="57"/>
      <c r="E1" s="57"/>
      <c r="F1" s="57"/>
      <c r="G1" s="57"/>
      <c r="H1" s="57"/>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ht="15" customHeight="1" x14ac:dyDescent="0.25">
      <c r="A2" s="25" t="s">
        <v>167</v>
      </c>
      <c r="B2" s="9"/>
      <c r="C2" s="7" t="s">
        <v>9</v>
      </c>
      <c r="D2" s="8" t="s">
        <v>20</v>
      </c>
      <c r="E2" s="34"/>
      <c r="F2" s="7" t="s">
        <v>9</v>
      </c>
      <c r="G2" s="7" t="s">
        <v>206</v>
      </c>
      <c r="H2" s="8" t="s">
        <v>20</v>
      </c>
      <c r="I2" s="32"/>
      <c r="J2" s="32"/>
      <c r="K2" s="32"/>
      <c r="L2" s="32"/>
      <c r="M2" s="32"/>
      <c r="N2" s="32"/>
      <c r="O2" s="32"/>
      <c r="P2" s="32"/>
      <c r="Q2" s="32"/>
      <c r="R2" s="32"/>
      <c r="S2" s="32"/>
      <c r="T2" s="32"/>
      <c r="U2" s="32"/>
      <c r="V2" s="32"/>
      <c r="W2" s="32"/>
      <c r="X2" s="32"/>
      <c r="Y2" s="32"/>
      <c r="Z2" s="7" t="s">
        <v>9</v>
      </c>
      <c r="AA2" s="32"/>
      <c r="AB2" s="7" t="s">
        <v>10</v>
      </c>
      <c r="AC2" s="32"/>
      <c r="AD2" s="7" t="s">
        <v>11</v>
      </c>
      <c r="AE2" s="32"/>
      <c r="AF2" s="7" t="s">
        <v>12</v>
      </c>
      <c r="AG2" s="32"/>
      <c r="AH2" s="7" t="s">
        <v>13</v>
      </c>
    </row>
    <row r="3" spans="1:34" ht="15" customHeight="1" x14ac:dyDescent="0.25">
      <c r="A3" s="25" t="s">
        <v>168</v>
      </c>
      <c r="B3" s="9"/>
      <c r="C3" s="73" t="s">
        <v>10</v>
      </c>
      <c r="D3" s="74">
        <v>50</v>
      </c>
      <c r="E3" s="34"/>
      <c r="F3" s="73" t="s">
        <v>10</v>
      </c>
      <c r="G3" s="73" t="s">
        <v>207</v>
      </c>
      <c r="H3" s="74">
        <v>50</v>
      </c>
      <c r="I3" s="32"/>
      <c r="J3" s="32"/>
      <c r="K3" s="32"/>
      <c r="L3" s="32"/>
      <c r="M3" s="32"/>
      <c r="N3" s="32"/>
      <c r="O3" s="32"/>
      <c r="P3" s="32"/>
      <c r="Q3" s="32"/>
      <c r="R3" s="32"/>
      <c r="S3" s="32"/>
      <c r="T3" s="32"/>
      <c r="U3" s="32"/>
      <c r="V3" s="32"/>
      <c r="W3" s="32"/>
      <c r="X3" s="32"/>
      <c r="Y3" s="32"/>
      <c r="Z3" s="35" t="s">
        <v>10</v>
      </c>
      <c r="AA3" s="32"/>
      <c r="AB3" s="35" t="s">
        <v>207</v>
      </c>
      <c r="AC3" s="32"/>
      <c r="AD3" s="35" t="s">
        <v>208</v>
      </c>
      <c r="AE3" s="32"/>
      <c r="AF3" s="35" t="s">
        <v>209</v>
      </c>
      <c r="AG3" s="32"/>
      <c r="AH3" s="35" t="s">
        <v>210</v>
      </c>
    </row>
    <row r="4" spans="1:34" ht="15" customHeight="1" x14ac:dyDescent="0.25">
      <c r="A4" s="25" t="s">
        <v>169</v>
      </c>
      <c r="B4" s="9"/>
      <c r="C4" s="73" t="s">
        <v>11</v>
      </c>
      <c r="D4" s="74">
        <v>20</v>
      </c>
      <c r="E4" s="34"/>
      <c r="F4" s="73" t="s">
        <v>11</v>
      </c>
      <c r="G4" s="73" t="s">
        <v>208</v>
      </c>
      <c r="H4" s="74">
        <v>20</v>
      </c>
      <c r="I4" s="32"/>
      <c r="J4" s="5"/>
      <c r="K4" s="5"/>
      <c r="L4" s="5"/>
      <c r="M4" s="5"/>
      <c r="N4" s="5"/>
      <c r="O4" s="32"/>
      <c r="P4" s="32"/>
      <c r="Q4" s="32"/>
      <c r="R4" s="32"/>
      <c r="S4" s="32"/>
      <c r="T4" s="32"/>
      <c r="U4" s="32"/>
      <c r="V4" s="32"/>
      <c r="W4" s="32"/>
      <c r="X4" s="32"/>
      <c r="Y4" s="32"/>
      <c r="Z4" s="35" t="s">
        <v>11</v>
      </c>
      <c r="AA4" s="32"/>
      <c r="AB4" s="35" t="s">
        <v>211</v>
      </c>
      <c r="AC4" s="32"/>
      <c r="AD4" s="35" t="s">
        <v>212</v>
      </c>
      <c r="AE4" s="32"/>
      <c r="AF4" s="35" t="s">
        <v>213</v>
      </c>
      <c r="AG4" s="32"/>
      <c r="AH4" s="35" t="s">
        <v>214</v>
      </c>
    </row>
    <row r="5" spans="1:34" s="20" customFormat="1" ht="15" customHeight="1" x14ac:dyDescent="0.3">
      <c r="A5" s="25" t="s">
        <v>170</v>
      </c>
      <c r="B5" s="33"/>
      <c r="C5" s="73" t="s">
        <v>12</v>
      </c>
      <c r="D5" s="74">
        <v>60</v>
      </c>
      <c r="E5" s="34"/>
      <c r="F5" s="73" t="s">
        <v>12</v>
      </c>
      <c r="G5" s="73" t="s">
        <v>209</v>
      </c>
      <c r="H5" s="74">
        <v>60</v>
      </c>
      <c r="I5" s="32"/>
      <c r="J5" s="5"/>
      <c r="K5" s="19"/>
      <c r="L5" s="5"/>
      <c r="M5" s="5"/>
      <c r="N5" s="5"/>
      <c r="O5" s="32"/>
      <c r="P5" s="32"/>
      <c r="Q5" s="33"/>
      <c r="R5" s="33"/>
      <c r="S5" s="33"/>
      <c r="T5" s="33"/>
      <c r="U5" s="33"/>
      <c r="V5" s="33"/>
      <c r="W5" s="33"/>
      <c r="X5" s="33"/>
      <c r="Y5" s="33"/>
      <c r="Z5" s="35" t="s">
        <v>12</v>
      </c>
      <c r="AA5" s="33"/>
      <c r="AB5" s="33"/>
      <c r="AC5" s="33"/>
      <c r="AD5" s="33"/>
      <c r="AE5" s="33"/>
      <c r="AF5" s="33"/>
      <c r="AG5" s="33"/>
      <c r="AH5" s="33"/>
    </row>
    <row r="6" spans="1:34" s="20" customFormat="1" ht="15" customHeight="1" x14ac:dyDescent="0.25">
      <c r="A6" s="25" t="s">
        <v>171</v>
      </c>
      <c r="B6" s="33"/>
      <c r="C6" s="73" t="s">
        <v>13</v>
      </c>
      <c r="D6" s="74">
        <v>40</v>
      </c>
      <c r="E6" s="34"/>
      <c r="F6" s="73" t="s">
        <v>13</v>
      </c>
      <c r="G6" s="73" t="s">
        <v>210</v>
      </c>
      <c r="H6" s="74">
        <v>40</v>
      </c>
      <c r="I6" s="32"/>
      <c r="J6" s="32"/>
      <c r="K6" s="32"/>
      <c r="L6" s="32"/>
      <c r="M6" s="32"/>
      <c r="N6" s="5"/>
      <c r="O6" s="32"/>
      <c r="P6" s="32"/>
      <c r="Q6" s="33"/>
      <c r="R6" s="33"/>
      <c r="S6" s="33"/>
      <c r="T6" s="33"/>
      <c r="U6" s="33"/>
      <c r="V6" s="33"/>
      <c r="W6" s="33"/>
      <c r="X6" s="33"/>
      <c r="Y6" s="33"/>
      <c r="Z6" s="35" t="s">
        <v>13</v>
      </c>
      <c r="AA6" s="33"/>
      <c r="AB6" s="33"/>
      <c r="AC6" s="33"/>
      <c r="AD6" s="33"/>
      <c r="AE6" s="33"/>
      <c r="AF6" s="33"/>
      <c r="AG6" s="33"/>
      <c r="AH6" s="33"/>
    </row>
    <row r="7" spans="1:34" s="20" customFormat="1" ht="15" customHeight="1" x14ac:dyDescent="0.25">
      <c r="A7" s="25" t="s">
        <v>172</v>
      </c>
      <c r="B7" s="33"/>
      <c r="C7" s="73" t="s">
        <v>10</v>
      </c>
      <c r="D7" s="74">
        <v>50</v>
      </c>
      <c r="E7" s="34"/>
      <c r="F7" s="73" t="s">
        <v>10</v>
      </c>
      <c r="G7" s="73" t="s">
        <v>211</v>
      </c>
      <c r="H7" s="74">
        <v>50</v>
      </c>
      <c r="I7" s="33"/>
      <c r="J7" s="33"/>
      <c r="K7" s="33"/>
      <c r="L7" s="33"/>
      <c r="M7" s="33"/>
      <c r="N7" s="5"/>
      <c r="O7" s="33"/>
      <c r="P7" s="33"/>
      <c r="Q7" s="33"/>
      <c r="R7" s="33"/>
      <c r="S7" s="33"/>
      <c r="T7" s="33"/>
      <c r="U7" s="33"/>
      <c r="V7" s="33"/>
      <c r="W7" s="33"/>
      <c r="X7" s="33"/>
      <c r="Y7" s="33"/>
      <c r="Z7" s="33"/>
      <c r="AA7" s="33"/>
      <c r="AB7" s="33"/>
      <c r="AC7" s="33"/>
      <c r="AD7" s="33"/>
      <c r="AE7" s="33"/>
      <c r="AF7" s="33"/>
      <c r="AG7" s="33"/>
      <c r="AH7" s="33"/>
    </row>
    <row r="8" spans="1:34" s="20" customFormat="1" ht="15" customHeight="1" x14ac:dyDescent="0.25">
      <c r="A8" s="25" t="s">
        <v>173</v>
      </c>
      <c r="B8" s="33"/>
      <c r="C8" s="73" t="s">
        <v>11</v>
      </c>
      <c r="D8" s="74">
        <v>20</v>
      </c>
      <c r="E8" s="34"/>
      <c r="F8" s="73" t="s">
        <v>11</v>
      </c>
      <c r="G8" s="73" t="s">
        <v>212</v>
      </c>
      <c r="H8" s="74">
        <v>20</v>
      </c>
      <c r="I8" s="33"/>
      <c r="J8" s="33"/>
      <c r="K8" s="33"/>
      <c r="L8" s="33"/>
      <c r="M8" s="33"/>
      <c r="N8" s="5"/>
      <c r="O8" s="33"/>
      <c r="P8" s="33"/>
      <c r="Q8" s="33"/>
      <c r="R8" s="33"/>
      <c r="S8" s="33"/>
      <c r="T8" s="33"/>
      <c r="U8" s="33"/>
      <c r="V8" s="33"/>
      <c r="W8" s="33"/>
      <c r="X8" s="33"/>
      <c r="Y8" s="33"/>
      <c r="Z8" s="33"/>
      <c r="AA8" s="33"/>
      <c r="AB8" s="33"/>
      <c r="AC8" s="33"/>
      <c r="AD8" s="33"/>
      <c r="AE8" s="33"/>
      <c r="AF8" s="33"/>
      <c r="AG8" s="33"/>
      <c r="AH8" s="33"/>
    </row>
    <row r="9" spans="1:34" s="20" customFormat="1" ht="15" customHeight="1" x14ac:dyDescent="0.25">
      <c r="A9" s="25" t="s">
        <v>174</v>
      </c>
      <c r="B9" s="33"/>
      <c r="C9" s="73" t="s">
        <v>12</v>
      </c>
      <c r="D9" s="74">
        <v>60</v>
      </c>
      <c r="E9" s="34"/>
      <c r="F9" s="73" t="s">
        <v>12</v>
      </c>
      <c r="G9" s="73" t="s">
        <v>213</v>
      </c>
      <c r="H9" s="74">
        <v>60</v>
      </c>
      <c r="I9" s="33"/>
      <c r="J9" s="33"/>
      <c r="K9" s="33"/>
      <c r="L9" s="33"/>
      <c r="M9" s="33"/>
      <c r="N9" s="5"/>
      <c r="O9" s="33"/>
      <c r="P9" s="33"/>
      <c r="Q9" s="33"/>
      <c r="R9" s="33"/>
      <c r="S9" s="33"/>
      <c r="T9" s="33"/>
      <c r="U9" s="33"/>
      <c r="V9" s="33"/>
      <c r="W9" s="33"/>
      <c r="X9" s="33"/>
      <c r="Y9" s="33"/>
      <c r="Z9" s="33"/>
      <c r="AA9" s="33"/>
      <c r="AB9" s="33"/>
      <c r="AC9" s="33"/>
      <c r="AD9" s="33"/>
      <c r="AE9" s="33"/>
      <c r="AF9" s="33"/>
      <c r="AG9" s="33"/>
      <c r="AH9" s="33"/>
    </row>
    <row r="10" spans="1:34" s="20" customFormat="1" ht="15" customHeight="1" x14ac:dyDescent="0.25">
      <c r="A10" s="25" t="s">
        <v>175</v>
      </c>
      <c r="B10" s="33"/>
      <c r="C10" s="73" t="s">
        <v>13</v>
      </c>
      <c r="D10" s="74">
        <v>40</v>
      </c>
      <c r="E10" s="34"/>
      <c r="F10" s="73" t="s">
        <v>13</v>
      </c>
      <c r="G10" s="73" t="s">
        <v>214</v>
      </c>
      <c r="H10" s="74">
        <v>40</v>
      </c>
      <c r="I10" s="33"/>
      <c r="J10" s="5"/>
      <c r="K10" s="5"/>
      <c r="L10" s="5"/>
      <c r="M10" s="5"/>
      <c r="N10" s="5"/>
      <c r="O10" s="33"/>
      <c r="P10" s="33"/>
      <c r="Q10" s="33"/>
      <c r="R10" s="33"/>
      <c r="S10" s="33"/>
      <c r="T10" s="33"/>
      <c r="U10" s="33"/>
      <c r="V10" s="33"/>
      <c r="W10" s="33"/>
      <c r="X10" s="33"/>
      <c r="Y10" s="33"/>
      <c r="Z10" s="33"/>
      <c r="AA10" s="33"/>
      <c r="AB10" s="33"/>
      <c r="AC10" s="33"/>
      <c r="AD10" s="33"/>
      <c r="AE10" s="33"/>
      <c r="AF10" s="33"/>
      <c r="AG10" s="33"/>
      <c r="AH10" s="33"/>
    </row>
    <row r="11" spans="1:34" s="20" customFormat="1" ht="15" customHeight="1" x14ac:dyDescent="0.25">
      <c r="A11" s="25" t="s">
        <v>176</v>
      </c>
      <c r="B11" s="33"/>
      <c r="C11" s="73" t="s">
        <v>10</v>
      </c>
      <c r="D11" s="74">
        <v>50</v>
      </c>
      <c r="E11" s="34"/>
      <c r="F11" s="73" t="s">
        <v>10</v>
      </c>
      <c r="G11" s="73" t="s">
        <v>211</v>
      </c>
      <c r="H11" s="74">
        <v>50</v>
      </c>
      <c r="I11" s="33"/>
      <c r="J11" s="38"/>
      <c r="K11" s="10"/>
      <c r="L11" s="5"/>
      <c r="M11" s="5"/>
      <c r="N11" s="5"/>
      <c r="O11" s="33"/>
      <c r="P11" s="33"/>
      <c r="Q11" s="33"/>
      <c r="R11" s="33"/>
      <c r="S11" s="33"/>
      <c r="T11" s="33"/>
      <c r="U11" s="33"/>
      <c r="V11" s="33"/>
      <c r="W11" s="33"/>
      <c r="X11" s="33"/>
      <c r="Y11" s="33"/>
      <c r="Z11" s="33"/>
      <c r="AA11" s="33"/>
      <c r="AB11" s="33"/>
      <c r="AC11" s="33"/>
      <c r="AD11" s="33"/>
      <c r="AE11" s="33"/>
      <c r="AF11" s="33"/>
      <c r="AG11" s="33"/>
      <c r="AH11" s="33"/>
    </row>
    <row r="12" spans="1:34" s="20" customFormat="1" ht="15" customHeight="1" x14ac:dyDescent="0.25">
      <c r="A12" s="25" t="s">
        <v>177</v>
      </c>
      <c r="B12" s="33"/>
      <c r="C12" s="73" t="s">
        <v>11</v>
      </c>
      <c r="D12" s="74">
        <v>20</v>
      </c>
      <c r="E12" s="34"/>
      <c r="F12" s="73" t="s">
        <v>11</v>
      </c>
      <c r="G12" s="73" t="s">
        <v>212</v>
      </c>
      <c r="H12" s="74">
        <v>20</v>
      </c>
      <c r="I12" s="33"/>
      <c r="J12" s="38"/>
      <c r="K12" s="6"/>
      <c r="L12" s="5"/>
      <c r="M12" s="5"/>
      <c r="N12" s="5"/>
      <c r="O12" s="33"/>
      <c r="P12" s="33"/>
      <c r="Q12" s="33"/>
      <c r="R12" s="33"/>
      <c r="S12" s="33"/>
      <c r="T12" s="33"/>
      <c r="U12" s="33"/>
      <c r="V12" s="33"/>
      <c r="W12" s="33"/>
      <c r="X12" s="33"/>
      <c r="Y12" s="33"/>
      <c r="Z12" s="33"/>
      <c r="AA12" s="33"/>
      <c r="AB12" s="33"/>
      <c r="AC12" s="33"/>
      <c r="AD12" s="33"/>
      <c r="AE12" s="33"/>
      <c r="AF12" s="33"/>
      <c r="AG12" s="33"/>
      <c r="AH12" s="33"/>
    </row>
    <row r="13" spans="1:34" s="20" customFormat="1" ht="15" customHeight="1" x14ac:dyDescent="0.25">
      <c r="A13" s="27" t="s">
        <v>178</v>
      </c>
      <c r="B13" s="33"/>
      <c r="C13" s="73" t="s">
        <v>12</v>
      </c>
      <c r="D13" s="74">
        <v>60</v>
      </c>
      <c r="E13" s="34"/>
      <c r="F13" s="73" t="s">
        <v>12</v>
      </c>
      <c r="G13" s="73" t="s">
        <v>209</v>
      </c>
      <c r="H13" s="74">
        <v>60</v>
      </c>
      <c r="I13" s="33"/>
      <c r="J13" s="38"/>
      <c r="K13" s="6"/>
      <c r="L13" s="5"/>
      <c r="M13" s="5"/>
      <c r="N13" s="5"/>
      <c r="O13" s="33"/>
      <c r="P13" s="33"/>
      <c r="Q13" s="33"/>
      <c r="R13" s="33"/>
      <c r="S13" s="33"/>
      <c r="T13" s="33"/>
      <c r="U13" s="33"/>
      <c r="V13" s="33"/>
      <c r="W13" s="33"/>
      <c r="X13" s="33"/>
      <c r="Y13" s="33"/>
      <c r="Z13" s="33"/>
      <c r="AA13" s="33"/>
      <c r="AB13" s="33"/>
      <c r="AC13" s="33"/>
      <c r="AD13" s="33"/>
      <c r="AE13" s="33"/>
      <c r="AF13" s="33"/>
      <c r="AG13" s="33"/>
      <c r="AH13" s="33"/>
    </row>
    <row r="14" spans="1:34" s="20" customFormat="1" ht="15" customHeight="1" x14ac:dyDescent="0.25">
      <c r="A14" s="26" t="s">
        <v>179</v>
      </c>
      <c r="B14" s="33"/>
      <c r="C14" s="73" t="s">
        <v>13</v>
      </c>
      <c r="D14" s="74">
        <v>40</v>
      </c>
      <c r="E14" s="34"/>
      <c r="F14" s="73" t="s">
        <v>13</v>
      </c>
      <c r="G14" s="73" t="s">
        <v>214</v>
      </c>
      <c r="H14" s="74">
        <v>40</v>
      </c>
      <c r="I14" s="33"/>
      <c r="J14" s="38"/>
      <c r="K14" s="39"/>
      <c r="L14" s="5"/>
      <c r="M14" s="5"/>
      <c r="N14" s="5"/>
      <c r="O14" s="33"/>
      <c r="P14" s="33"/>
      <c r="Q14" s="33"/>
      <c r="R14" s="33"/>
      <c r="S14" s="33"/>
      <c r="T14" s="33"/>
      <c r="U14" s="33"/>
      <c r="V14" s="33"/>
      <c r="W14" s="33"/>
      <c r="X14" s="33"/>
      <c r="Y14" s="33"/>
      <c r="Z14" s="33"/>
      <c r="AA14" s="33"/>
      <c r="AB14" s="33"/>
      <c r="AC14" s="33"/>
      <c r="AD14" s="33"/>
      <c r="AE14" s="33"/>
      <c r="AF14" s="33"/>
      <c r="AG14" s="33"/>
      <c r="AH14" s="33"/>
    </row>
    <row r="15" spans="1:34" s="20" customFormat="1" ht="15" customHeight="1" x14ac:dyDescent="0.25">
      <c r="A15" s="27" t="s">
        <v>180</v>
      </c>
      <c r="B15" s="33"/>
      <c r="C15" s="21"/>
      <c r="D15" s="21"/>
      <c r="E15" s="21"/>
      <c r="F15" s="21"/>
      <c r="G15" s="21"/>
      <c r="H15" s="21"/>
      <c r="I15" s="33"/>
      <c r="J15" s="38"/>
      <c r="K15" s="40"/>
      <c r="L15" s="5"/>
      <c r="M15" s="5"/>
      <c r="N15" s="5"/>
      <c r="O15" s="33"/>
      <c r="P15" s="33"/>
      <c r="Q15" s="33"/>
      <c r="R15" s="33"/>
      <c r="S15" s="33"/>
      <c r="T15" s="33"/>
      <c r="U15" s="33"/>
      <c r="V15" s="33"/>
      <c r="W15" s="33"/>
      <c r="X15" s="33"/>
      <c r="Y15" s="33"/>
      <c r="Z15" s="33"/>
      <c r="AA15" s="33"/>
      <c r="AB15" s="33"/>
      <c r="AC15" s="33"/>
      <c r="AD15" s="33"/>
      <c r="AE15" s="33"/>
      <c r="AF15" s="33"/>
      <c r="AG15" s="33"/>
      <c r="AH15" s="33"/>
    </row>
    <row r="16" spans="1:34" s="20" customFormat="1" ht="15" customHeight="1" thickBot="1" x14ac:dyDescent="0.3">
      <c r="A16" s="25" t="s">
        <v>1</v>
      </c>
      <c r="B16" s="33"/>
      <c r="C16" s="33" t="s">
        <v>9</v>
      </c>
      <c r="D16" s="23" t="s">
        <v>204</v>
      </c>
      <c r="E16" s="34"/>
      <c r="F16" s="33" t="s">
        <v>9</v>
      </c>
      <c r="G16" s="33" t="s">
        <v>206</v>
      </c>
      <c r="H16" s="23" t="s">
        <v>216</v>
      </c>
      <c r="I16" s="33"/>
      <c r="J16" s="38"/>
      <c r="K16" s="10"/>
      <c r="L16" s="5"/>
      <c r="M16" s="5"/>
      <c r="N16" s="5"/>
      <c r="O16" s="33"/>
      <c r="P16" s="33"/>
      <c r="Q16" s="33"/>
      <c r="R16" s="33"/>
      <c r="S16" s="33"/>
      <c r="T16" s="33"/>
      <c r="U16" s="33"/>
      <c r="V16" s="33"/>
      <c r="W16" s="33"/>
      <c r="X16" s="33"/>
      <c r="Y16" s="33"/>
      <c r="Z16" s="33"/>
      <c r="AA16" s="33"/>
      <c r="AB16" s="33"/>
      <c r="AC16" s="33"/>
      <c r="AD16" s="33"/>
      <c r="AE16" s="33"/>
      <c r="AF16" s="33"/>
      <c r="AG16" s="33"/>
      <c r="AH16" s="33"/>
    </row>
    <row r="17" spans="1:34" s="20" customFormat="1" ht="15" customHeight="1" thickTop="1" thickBot="1" x14ac:dyDescent="0.3">
      <c r="A17" s="25" t="s">
        <v>2</v>
      </c>
      <c r="B17" s="33"/>
      <c r="C17" s="41" t="s">
        <v>10</v>
      </c>
      <c r="D17" s="42"/>
      <c r="E17" s="34"/>
      <c r="F17" s="41" t="s">
        <v>11</v>
      </c>
      <c r="G17" s="41" t="s">
        <v>208</v>
      </c>
      <c r="H17" s="37"/>
      <c r="I17" s="33"/>
      <c r="J17" s="43"/>
      <c r="K17" s="6"/>
      <c r="L17" s="5"/>
      <c r="M17" s="5"/>
      <c r="N17" s="5"/>
      <c r="O17" s="33"/>
      <c r="P17" s="33"/>
      <c r="Q17" s="33"/>
      <c r="R17" s="33"/>
      <c r="S17" s="33"/>
      <c r="T17" s="33"/>
      <c r="U17" s="33"/>
      <c r="V17" s="33"/>
      <c r="W17" s="33"/>
      <c r="X17" s="33"/>
      <c r="Y17" s="33"/>
      <c r="Z17" s="33"/>
      <c r="AA17" s="33"/>
      <c r="AB17" s="33"/>
      <c r="AC17" s="33"/>
      <c r="AD17" s="33"/>
      <c r="AE17" s="33"/>
      <c r="AF17" s="33"/>
      <c r="AG17" s="33"/>
      <c r="AH17" s="33"/>
    </row>
    <row r="18" spans="1:34" s="20" customFormat="1" ht="15" customHeight="1" thickTop="1" x14ac:dyDescent="0.25">
      <c r="A18" s="25" t="s">
        <v>181</v>
      </c>
      <c r="B18" s="33"/>
      <c r="C18" s="33"/>
      <c r="D18" s="33"/>
      <c r="E18" s="34"/>
      <c r="F18" s="33"/>
      <c r="G18" s="33"/>
      <c r="H18" s="33"/>
      <c r="I18" s="33"/>
      <c r="J18" s="38"/>
      <c r="K18" s="39"/>
      <c r="L18" s="5"/>
      <c r="M18" s="5"/>
      <c r="N18" s="5"/>
      <c r="O18" s="33"/>
      <c r="P18" s="33"/>
      <c r="Q18" s="33"/>
      <c r="R18" s="33"/>
      <c r="S18" s="33"/>
      <c r="T18" s="33"/>
      <c r="U18" s="33"/>
      <c r="V18" s="33"/>
      <c r="W18" s="33"/>
      <c r="X18" s="33"/>
      <c r="Y18" s="33"/>
      <c r="Z18" s="33"/>
      <c r="AA18" s="33"/>
      <c r="AB18" s="33"/>
      <c r="AC18" s="33"/>
      <c r="AD18" s="33"/>
      <c r="AE18" s="33"/>
      <c r="AF18" s="33"/>
      <c r="AG18" s="33"/>
      <c r="AH18" s="33"/>
    </row>
    <row r="19" spans="1:34" s="20" customFormat="1" ht="15" customHeight="1" x14ac:dyDescent="0.25">
      <c r="A19" s="25" t="s">
        <v>182</v>
      </c>
      <c r="B19" s="33"/>
      <c r="C19" s="1"/>
      <c r="D19" s="1"/>
      <c r="E19" s="1"/>
      <c r="F19" s="1"/>
      <c r="G19" s="1"/>
      <c r="H19" s="1"/>
      <c r="I19" s="33"/>
      <c r="J19" s="38"/>
      <c r="K19" s="40"/>
      <c r="L19" s="5"/>
      <c r="M19" s="5"/>
      <c r="N19" s="33"/>
      <c r="O19" s="33"/>
      <c r="P19" s="33"/>
      <c r="Q19" s="33"/>
      <c r="R19" s="33"/>
      <c r="S19" s="33"/>
      <c r="T19" s="33"/>
      <c r="U19" s="33"/>
      <c r="V19" s="33"/>
      <c r="W19" s="33"/>
      <c r="X19" s="33"/>
      <c r="Y19" s="33"/>
      <c r="Z19" s="33"/>
      <c r="AA19" s="33"/>
      <c r="AB19" s="33"/>
      <c r="AC19" s="33"/>
      <c r="AD19" s="33"/>
      <c r="AE19" s="33"/>
      <c r="AF19" s="33"/>
      <c r="AG19" s="33"/>
      <c r="AH19" s="33"/>
    </row>
    <row r="20" spans="1:34" s="20" customFormat="1" ht="15" customHeight="1" x14ac:dyDescent="0.25">
      <c r="A20" s="25" t="s">
        <v>183</v>
      </c>
      <c r="B20" s="33"/>
      <c r="C20" s="1"/>
      <c r="D20" s="1"/>
      <c r="E20" s="1"/>
      <c r="F20" s="1"/>
      <c r="G20" s="1"/>
      <c r="H20" s="1"/>
      <c r="I20" s="33"/>
      <c r="J20" s="43"/>
      <c r="K20" s="10"/>
      <c r="L20" s="33"/>
      <c r="M20" s="5"/>
      <c r="N20" s="33"/>
      <c r="O20" s="33"/>
      <c r="P20" s="33"/>
      <c r="Q20" s="33"/>
      <c r="R20" s="33"/>
      <c r="S20" s="33"/>
      <c r="T20" s="33"/>
      <c r="U20" s="33"/>
      <c r="V20" s="33"/>
      <c r="W20" s="33"/>
      <c r="X20" s="33"/>
      <c r="Y20" s="33"/>
      <c r="Z20" s="33"/>
      <c r="AA20" s="33"/>
      <c r="AB20" s="33"/>
      <c r="AC20" s="33"/>
      <c r="AD20" s="33"/>
      <c r="AE20" s="33"/>
      <c r="AF20" s="33"/>
      <c r="AG20" s="33"/>
      <c r="AH20" s="33"/>
    </row>
    <row r="21" spans="1:34" s="20" customFormat="1" ht="15" customHeight="1" x14ac:dyDescent="0.25">
      <c r="A21" s="25" t="s">
        <v>184</v>
      </c>
      <c r="B21" s="33"/>
      <c r="C21" s="1"/>
      <c r="D21" s="1"/>
      <c r="E21" s="1"/>
      <c r="F21" s="1"/>
      <c r="G21" s="1"/>
      <c r="H21" s="1"/>
      <c r="I21" s="33"/>
      <c r="J21" s="43"/>
      <c r="K21" s="6"/>
      <c r="L21" s="33"/>
      <c r="M21" s="5"/>
      <c r="N21" s="33"/>
      <c r="O21" s="33"/>
      <c r="P21" s="33"/>
      <c r="Q21" s="33"/>
      <c r="R21" s="33"/>
      <c r="S21" s="33"/>
      <c r="T21" s="33"/>
      <c r="U21" s="33"/>
      <c r="V21" s="33"/>
      <c r="W21" s="33"/>
      <c r="X21" s="33"/>
      <c r="Y21" s="33"/>
      <c r="Z21" s="33"/>
      <c r="AA21" s="33"/>
      <c r="AB21" s="33"/>
      <c r="AC21" s="33"/>
      <c r="AD21" s="33"/>
      <c r="AE21" s="33"/>
      <c r="AF21" s="33"/>
      <c r="AG21" s="33"/>
      <c r="AH21" s="33"/>
    </row>
    <row r="22" spans="1:34" s="20" customFormat="1" ht="15" customHeight="1" x14ac:dyDescent="0.25">
      <c r="A22" s="25" t="s">
        <v>170</v>
      </c>
      <c r="B22" s="33"/>
      <c r="C22" s="1"/>
      <c r="D22" s="1"/>
      <c r="E22" s="1"/>
      <c r="F22" s="1"/>
      <c r="G22" s="1"/>
      <c r="H22" s="1"/>
      <c r="I22" s="33"/>
      <c r="J22" s="32"/>
      <c r="K22" s="6"/>
      <c r="L22" s="44"/>
      <c r="M22" s="5"/>
      <c r="N22" s="33"/>
      <c r="O22" s="33"/>
      <c r="P22" s="33"/>
      <c r="Q22" s="33"/>
      <c r="R22" s="33"/>
      <c r="S22" s="33"/>
      <c r="T22" s="33"/>
      <c r="U22" s="33"/>
      <c r="V22" s="33"/>
      <c r="W22" s="33"/>
      <c r="X22" s="33"/>
      <c r="Y22" s="33"/>
      <c r="Z22" s="33"/>
      <c r="AA22" s="33"/>
      <c r="AB22" s="33"/>
      <c r="AC22" s="33"/>
      <c r="AD22" s="33"/>
      <c r="AE22" s="33"/>
      <c r="AF22" s="33"/>
      <c r="AG22" s="33"/>
      <c r="AH22" s="33"/>
    </row>
    <row r="23" spans="1:34" s="20" customFormat="1" ht="15" customHeight="1" x14ac:dyDescent="0.25">
      <c r="A23" s="25" t="s">
        <v>171</v>
      </c>
      <c r="B23" s="33"/>
      <c r="C23" s="1"/>
      <c r="D23" s="1"/>
      <c r="E23" s="1"/>
      <c r="F23" s="1"/>
      <c r="G23" s="1"/>
      <c r="H23" s="1"/>
      <c r="I23" s="33"/>
      <c r="J23" s="32"/>
      <c r="K23" s="45"/>
      <c r="L23" s="44"/>
      <c r="M23" s="5"/>
      <c r="N23" s="33"/>
      <c r="O23" s="33"/>
      <c r="P23" s="33"/>
      <c r="Q23" s="33"/>
      <c r="R23" s="33"/>
      <c r="S23" s="33"/>
      <c r="T23" s="33"/>
      <c r="U23" s="33"/>
      <c r="V23" s="33"/>
      <c r="W23" s="33"/>
      <c r="X23" s="33"/>
      <c r="Y23" s="33"/>
      <c r="Z23" s="33"/>
      <c r="AA23" s="33"/>
      <c r="AB23" s="33"/>
      <c r="AC23" s="33"/>
      <c r="AD23" s="33"/>
      <c r="AE23" s="33"/>
      <c r="AF23" s="33"/>
      <c r="AG23" s="33"/>
      <c r="AH23" s="33"/>
    </row>
    <row r="24" spans="1:34" s="20" customFormat="1" ht="15" customHeight="1" x14ac:dyDescent="0.25">
      <c r="A24" s="27" t="s">
        <v>185</v>
      </c>
      <c r="B24" s="33"/>
      <c r="C24" s="1"/>
      <c r="D24" s="1"/>
      <c r="E24" s="1"/>
      <c r="F24" s="1"/>
      <c r="G24" s="1"/>
      <c r="H24" s="1"/>
      <c r="I24" s="33"/>
      <c r="J24" s="32"/>
      <c r="K24" s="33"/>
      <c r="L24" s="44"/>
      <c r="M24" s="5"/>
      <c r="N24" s="33"/>
      <c r="O24" s="33"/>
      <c r="P24" s="33"/>
      <c r="Q24" s="33"/>
      <c r="R24" s="33"/>
      <c r="S24" s="33"/>
      <c r="T24" s="33"/>
      <c r="U24" s="33"/>
      <c r="V24" s="33"/>
      <c r="W24" s="33"/>
      <c r="X24" s="33"/>
      <c r="Y24" s="33"/>
      <c r="Z24" s="33"/>
      <c r="AA24" s="33"/>
      <c r="AB24" s="33"/>
      <c r="AC24" s="33"/>
      <c r="AD24" s="33"/>
      <c r="AE24" s="33"/>
      <c r="AF24" s="33"/>
      <c r="AG24" s="33"/>
      <c r="AH24" s="32"/>
    </row>
    <row r="25" spans="1:34" s="20" customFormat="1" ht="15" customHeight="1" x14ac:dyDescent="0.25">
      <c r="A25" s="25" t="s">
        <v>186</v>
      </c>
      <c r="B25" s="33"/>
      <c r="C25" s="1"/>
      <c r="D25" s="1"/>
      <c r="E25" s="1"/>
      <c r="F25" s="1"/>
      <c r="G25" s="1"/>
      <c r="H25" s="1"/>
      <c r="I25" s="33"/>
      <c r="J25" s="32"/>
      <c r="K25" s="33"/>
      <c r="L25" s="44"/>
      <c r="M25" s="5"/>
      <c r="N25" s="33"/>
      <c r="O25" s="33"/>
      <c r="P25" s="33"/>
      <c r="Q25" s="33"/>
      <c r="R25" s="33"/>
      <c r="S25" s="33"/>
      <c r="T25" s="33"/>
      <c r="U25" s="33"/>
      <c r="V25" s="33"/>
      <c r="W25" s="33"/>
      <c r="X25" s="33"/>
      <c r="Y25" s="33"/>
      <c r="Z25" s="33"/>
      <c r="AA25" s="33"/>
      <c r="AB25" s="33"/>
      <c r="AC25" s="33"/>
      <c r="AD25" s="33"/>
      <c r="AE25" s="33"/>
      <c r="AF25" s="33"/>
      <c r="AG25" s="33"/>
      <c r="AH25" s="32"/>
    </row>
    <row r="26" spans="1:34" s="20" customFormat="1" ht="15" customHeight="1" x14ac:dyDescent="0.25">
      <c r="A26" s="25" t="s">
        <v>187</v>
      </c>
      <c r="B26" s="33"/>
      <c r="C26" s="1"/>
      <c r="D26" s="1"/>
      <c r="E26" s="1"/>
      <c r="F26" s="1"/>
      <c r="G26" s="1"/>
      <c r="H26" s="1"/>
      <c r="I26" s="33"/>
      <c r="J26" s="32"/>
      <c r="K26" s="33"/>
      <c r="L26" s="44"/>
      <c r="M26" s="5"/>
      <c r="N26" s="33"/>
      <c r="O26" s="33"/>
      <c r="P26" s="33"/>
      <c r="Q26" s="33"/>
      <c r="R26" s="33"/>
      <c r="S26" s="33"/>
      <c r="T26" s="33"/>
      <c r="U26" s="33"/>
      <c r="V26" s="33"/>
      <c r="W26" s="33"/>
      <c r="X26" s="33"/>
      <c r="Y26" s="33"/>
      <c r="Z26" s="33"/>
      <c r="AA26" s="33"/>
      <c r="AB26" s="33"/>
      <c r="AC26" s="33"/>
      <c r="AD26" s="33"/>
      <c r="AE26" s="33"/>
      <c r="AF26" s="33"/>
      <c r="AG26" s="33"/>
      <c r="AH26" s="32"/>
    </row>
    <row r="27" spans="1:34" s="20" customFormat="1" ht="15" customHeight="1" x14ac:dyDescent="0.25">
      <c r="A27" s="25" t="s">
        <v>177</v>
      </c>
      <c r="B27" s="33"/>
      <c r="C27" s="1"/>
      <c r="D27" s="1"/>
      <c r="E27" s="1"/>
      <c r="F27" s="1"/>
      <c r="G27" s="1"/>
      <c r="H27" s="1"/>
      <c r="I27" s="33"/>
      <c r="J27" s="32"/>
      <c r="K27" s="33"/>
      <c r="L27" s="44"/>
      <c r="M27" s="5"/>
      <c r="N27" s="33"/>
      <c r="O27" s="33"/>
      <c r="P27" s="33"/>
      <c r="Q27" s="33"/>
      <c r="R27" s="33"/>
      <c r="S27" s="33"/>
      <c r="T27" s="33"/>
      <c r="U27" s="33"/>
      <c r="V27" s="33"/>
      <c r="W27" s="33"/>
      <c r="X27" s="33"/>
      <c r="Y27" s="33"/>
      <c r="Z27" s="33"/>
      <c r="AA27" s="33"/>
      <c r="AB27" s="33"/>
      <c r="AC27" s="33"/>
      <c r="AD27" s="33"/>
      <c r="AE27" s="33"/>
      <c r="AF27" s="33"/>
      <c r="AG27" s="33"/>
      <c r="AH27" s="32"/>
    </row>
    <row r="28" spans="1:34" s="20" customFormat="1" ht="15" customHeight="1" x14ac:dyDescent="0.25">
      <c r="A28" s="25" t="s">
        <v>188</v>
      </c>
      <c r="B28" s="33"/>
      <c r="C28" s="1"/>
      <c r="D28" s="1"/>
      <c r="E28" s="1"/>
      <c r="F28" s="1"/>
      <c r="G28" s="1"/>
      <c r="H28" s="1"/>
      <c r="I28" s="33"/>
      <c r="J28" s="32"/>
      <c r="K28" s="33"/>
      <c r="L28" s="44"/>
      <c r="M28" s="33"/>
      <c r="N28" s="33"/>
      <c r="O28" s="33"/>
      <c r="P28" s="33"/>
      <c r="Q28" s="33"/>
      <c r="R28" s="33"/>
      <c r="S28" s="33"/>
      <c r="T28" s="33"/>
      <c r="U28" s="33"/>
      <c r="V28" s="33"/>
      <c r="W28" s="33"/>
      <c r="X28" s="33"/>
      <c r="Y28" s="33"/>
      <c r="Z28" s="33"/>
      <c r="AA28" s="33"/>
      <c r="AB28" s="33"/>
      <c r="AC28" s="33"/>
      <c r="AD28" s="33"/>
      <c r="AE28" s="33"/>
      <c r="AF28" s="33"/>
      <c r="AG28" s="33"/>
      <c r="AH28" s="32"/>
    </row>
    <row r="29" spans="1:34" s="20" customFormat="1" ht="15" customHeight="1" x14ac:dyDescent="0.25">
      <c r="A29" s="25" t="s">
        <v>179</v>
      </c>
      <c r="B29" s="33"/>
      <c r="C29" s="1"/>
      <c r="D29" s="1"/>
      <c r="E29" s="1"/>
      <c r="F29" s="1"/>
      <c r="G29" s="1"/>
      <c r="H29" s="1"/>
      <c r="I29" s="33"/>
      <c r="J29" s="32"/>
      <c r="K29" s="33"/>
      <c r="L29" s="44"/>
      <c r="M29" s="33"/>
      <c r="N29" s="33"/>
      <c r="O29" s="33"/>
      <c r="P29" s="33"/>
      <c r="Q29" s="33"/>
      <c r="R29" s="33"/>
      <c r="S29" s="33"/>
      <c r="T29" s="33"/>
      <c r="U29" s="33"/>
      <c r="V29" s="33"/>
      <c r="W29" s="33"/>
      <c r="X29" s="33"/>
      <c r="Y29" s="33"/>
      <c r="Z29" s="33"/>
      <c r="AA29" s="33"/>
      <c r="AB29" s="33"/>
      <c r="AC29" s="33"/>
      <c r="AD29" s="33"/>
      <c r="AE29" s="33"/>
      <c r="AF29" s="33"/>
      <c r="AG29" s="33"/>
      <c r="AH29" s="32"/>
    </row>
    <row r="30" spans="1:34" s="20" customFormat="1" ht="15" customHeight="1" x14ac:dyDescent="0.25">
      <c r="A30" s="25" t="s">
        <v>1</v>
      </c>
      <c r="B30" s="33"/>
      <c r="C30" s="1"/>
      <c r="D30" s="1"/>
      <c r="E30" s="1"/>
      <c r="F30" s="1"/>
      <c r="G30" s="1"/>
      <c r="H30" s="1"/>
      <c r="I30" s="33"/>
      <c r="J30" s="33"/>
      <c r="K30" s="33"/>
      <c r="L30" s="33"/>
      <c r="M30" s="33"/>
      <c r="N30" s="33"/>
      <c r="O30" s="33"/>
      <c r="P30" s="33"/>
      <c r="Q30" s="33"/>
      <c r="R30" s="33"/>
      <c r="S30" s="33"/>
      <c r="T30" s="33"/>
      <c r="U30" s="33"/>
      <c r="V30" s="33"/>
      <c r="W30" s="33"/>
      <c r="X30" s="33"/>
      <c r="Y30" s="33"/>
      <c r="Z30" s="33"/>
      <c r="AA30" s="33"/>
      <c r="AB30" s="32"/>
      <c r="AC30" s="33"/>
      <c r="AD30" s="32"/>
      <c r="AE30" s="33"/>
      <c r="AF30" s="33"/>
      <c r="AG30" s="33"/>
      <c r="AH30" s="32"/>
    </row>
    <row r="31" spans="1:34" s="20" customFormat="1" ht="15" customHeight="1" x14ac:dyDescent="0.25">
      <c r="A31" s="25" t="s">
        <v>4</v>
      </c>
      <c r="B31" s="33"/>
      <c r="C31" s="1"/>
      <c r="D31" s="1"/>
      <c r="E31" s="1"/>
      <c r="F31" s="1"/>
      <c r="G31" s="1"/>
      <c r="H31" s="1"/>
      <c r="I31" s="33"/>
      <c r="J31" s="33"/>
      <c r="K31" s="33"/>
      <c r="L31" s="33"/>
      <c r="M31" s="33"/>
      <c r="N31" s="5"/>
      <c r="O31" s="33"/>
      <c r="P31" s="33"/>
      <c r="Q31" s="33"/>
      <c r="R31" s="33"/>
      <c r="S31" s="33"/>
      <c r="T31" s="33"/>
      <c r="U31" s="33"/>
      <c r="V31" s="33"/>
      <c r="W31" s="33"/>
      <c r="X31" s="33"/>
      <c r="Y31" s="33"/>
      <c r="Z31" s="33"/>
      <c r="AA31" s="33"/>
      <c r="AB31" s="32"/>
      <c r="AC31" s="33"/>
      <c r="AD31" s="32"/>
      <c r="AE31" s="33"/>
      <c r="AF31" s="33"/>
      <c r="AG31" s="33"/>
      <c r="AH31" s="32"/>
    </row>
    <row r="32" spans="1:34" s="20" customFormat="1" ht="15" customHeight="1" x14ac:dyDescent="0.25">
      <c r="A32" s="24" t="s">
        <v>189</v>
      </c>
      <c r="B32" s="33"/>
      <c r="C32" s="1"/>
      <c r="D32" s="1"/>
      <c r="E32" s="1"/>
      <c r="F32" s="1"/>
      <c r="G32" s="1"/>
      <c r="H32" s="1"/>
      <c r="I32" s="33"/>
      <c r="J32" s="33"/>
      <c r="K32" s="33"/>
      <c r="L32" s="33"/>
      <c r="M32" s="33"/>
      <c r="N32" s="5"/>
      <c r="O32" s="33"/>
      <c r="P32" s="33"/>
      <c r="Q32" s="33"/>
      <c r="R32" s="33"/>
      <c r="S32" s="33"/>
      <c r="T32" s="33"/>
      <c r="U32" s="33"/>
      <c r="V32" s="33"/>
      <c r="W32" s="33"/>
      <c r="X32" s="33"/>
      <c r="Y32" s="33"/>
      <c r="Z32" s="33"/>
      <c r="AA32" s="33"/>
      <c r="AB32" s="32"/>
      <c r="AC32" s="33"/>
      <c r="AD32" s="32"/>
      <c r="AE32" s="33"/>
      <c r="AF32" s="33"/>
      <c r="AG32" s="33"/>
      <c r="AH32" s="32"/>
    </row>
    <row r="33" spans="1:34" s="20" customFormat="1" ht="15" customHeight="1" x14ac:dyDescent="0.25">
      <c r="A33" s="63" t="s">
        <v>240</v>
      </c>
      <c r="B33" s="33"/>
      <c r="C33" s="1"/>
      <c r="D33" s="1"/>
      <c r="E33" s="1"/>
      <c r="F33" s="1"/>
      <c r="G33" s="1"/>
      <c r="H33" s="1"/>
      <c r="I33" s="33"/>
      <c r="J33" s="33"/>
      <c r="K33" s="33"/>
      <c r="L33" s="33"/>
      <c r="M33" s="33"/>
      <c r="N33" s="33"/>
      <c r="O33" s="33"/>
      <c r="P33" s="33"/>
      <c r="Q33" s="33"/>
      <c r="R33" s="33"/>
      <c r="S33" s="33"/>
      <c r="T33" s="33"/>
      <c r="U33" s="33"/>
      <c r="V33" s="33"/>
      <c r="W33" s="33"/>
      <c r="X33" s="33"/>
      <c r="Y33" s="33"/>
      <c r="Z33" s="33"/>
      <c r="AA33" s="33"/>
      <c r="AB33" s="32"/>
      <c r="AC33" s="33"/>
      <c r="AD33" s="32"/>
      <c r="AE33" s="33"/>
      <c r="AF33" s="33"/>
      <c r="AG33" s="33"/>
      <c r="AH33" s="32"/>
    </row>
    <row r="34" spans="1:34" s="20" customFormat="1" ht="15" customHeight="1" x14ac:dyDescent="0.25">
      <c r="A34" s="24" t="s">
        <v>1</v>
      </c>
      <c r="B34" s="33"/>
      <c r="C34" s="1"/>
      <c r="D34" s="1"/>
      <c r="E34" s="1"/>
      <c r="F34" s="1"/>
      <c r="G34" s="1"/>
      <c r="H34" s="1"/>
      <c r="I34" s="33"/>
      <c r="J34" s="33"/>
      <c r="K34" s="33"/>
      <c r="L34" s="33"/>
      <c r="M34" s="33"/>
      <c r="N34" s="33"/>
      <c r="O34" s="33"/>
      <c r="P34" s="33"/>
      <c r="Q34" s="33"/>
      <c r="R34" s="33"/>
      <c r="S34" s="33"/>
      <c r="T34" s="33"/>
      <c r="U34" s="33"/>
      <c r="V34" s="33"/>
      <c r="W34" s="33"/>
      <c r="X34" s="33"/>
      <c r="Y34" s="33"/>
      <c r="Z34" s="33"/>
      <c r="AA34" s="33"/>
      <c r="AB34" s="32"/>
      <c r="AC34" s="33"/>
      <c r="AD34" s="32"/>
      <c r="AE34" s="33"/>
      <c r="AF34" s="33"/>
      <c r="AG34" s="33"/>
      <c r="AH34" s="32"/>
    </row>
    <row r="35" spans="1:34" s="20" customFormat="1" ht="15" customHeight="1" x14ac:dyDescent="0.25">
      <c r="A35" s="24" t="s">
        <v>4</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2"/>
      <c r="AC35" s="33"/>
      <c r="AD35" s="32"/>
      <c r="AE35" s="33"/>
      <c r="AF35" s="33"/>
      <c r="AG35" s="33"/>
      <c r="AH35" s="32"/>
    </row>
    <row r="36" spans="1:34" x14ac:dyDescent="0.25">
      <c r="A36" s="9" t="s">
        <v>190</v>
      </c>
      <c r="B36" s="9"/>
      <c r="C36" s="33"/>
      <c r="D36" s="33"/>
      <c r="E36" s="33"/>
      <c r="F36" s="33"/>
      <c r="G36" s="33"/>
      <c r="H36" s="33"/>
      <c r="I36" s="33"/>
      <c r="J36" s="33"/>
      <c r="K36" s="33"/>
      <c r="L36" s="33"/>
      <c r="M36" s="33"/>
      <c r="N36" s="33"/>
      <c r="O36" s="33"/>
      <c r="P36" s="33"/>
      <c r="Q36" s="32"/>
      <c r="R36" s="32"/>
      <c r="S36" s="32"/>
      <c r="T36" s="32"/>
      <c r="U36" s="32"/>
      <c r="V36" s="32"/>
      <c r="W36" s="32"/>
      <c r="X36" s="32"/>
      <c r="Y36" s="32"/>
      <c r="Z36" s="32"/>
      <c r="AA36" s="32"/>
      <c r="AB36" s="32"/>
      <c r="AC36" s="32"/>
      <c r="AD36" s="32"/>
      <c r="AE36" s="32"/>
      <c r="AF36" s="32"/>
      <c r="AG36" s="32"/>
      <c r="AH36" s="32"/>
    </row>
    <row r="37" spans="1:34" x14ac:dyDescent="0.25">
      <c r="A37" s="9" t="s">
        <v>191</v>
      </c>
      <c r="B37" s="9"/>
      <c r="C37" s="33"/>
      <c r="D37" s="33"/>
      <c r="E37" s="33"/>
      <c r="F37" s="33"/>
      <c r="G37" s="33"/>
      <c r="H37" s="33"/>
      <c r="I37" s="33"/>
      <c r="J37" s="33"/>
      <c r="K37" s="33"/>
      <c r="L37" s="33"/>
      <c r="M37" s="33"/>
      <c r="N37" s="33"/>
      <c r="O37" s="33"/>
      <c r="P37" s="33"/>
      <c r="Q37" s="32"/>
      <c r="R37" s="32"/>
      <c r="S37" s="32"/>
      <c r="T37" s="32"/>
      <c r="U37" s="32"/>
      <c r="V37" s="32"/>
      <c r="W37" s="32"/>
      <c r="X37" s="32"/>
      <c r="Y37" s="32"/>
      <c r="Z37" s="32"/>
      <c r="AA37" s="32"/>
      <c r="AB37" s="32"/>
      <c r="AC37" s="32"/>
      <c r="AD37" s="32"/>
      <c r="AE37" s="32"/>
      <c r="AF37" s="32"/>
      <c r="AG37" s="32"/>
      <c r="AH37" s="32"/>
    </row>
    <row r="38" spans="1:34" x14ac:dyDescent="0.25">
      <c r="A38" s="9">
        <f>SUMIF(D118:D122,"&gt;=50")</f>
        <v>200</v>
      </c>
      <c r="B38" s="9"/>
      <c r="C38" s="33"/>
      <c r="D38" s="33"/>
      <c r="E38" s="33"/>
      <c r="F38" s="33"/>
      <c r="G38" s="33"/>
      <c r="H38" s="33"/>
      <c r="I38" s="33"/>
      <c r="J38" s="33"/>
      <c r="K38" s="33"/>
      <c r="L38" s="33"/>
      <c r="M38" s="33"/>
      <c r="N38" s="33"/>
      <c r="O38" s="33"/>
      <c r="P38" s="33"/>
      <c r="Q38" s="32"/>
      <c r="R38" s="32"/>
      <c r="S38" s="32"/>
      <c r="T38" s="32"/>
      <c r="U38" s="32"/>
      <c r="V38" s="32"/>
      <c r="W38" s="32"/>
      <c r="X38" s="32"/>
      <c r="Y38" s="32"/>
      <c r="Z38" s="32"/>
      <c r="AA38" s="32"/>
      <c r="AB38" s="32"/>
      <c r="AC38" s="32"/>
      <c r="AD38" s="32"/>
      <c r="AE38" s="32"/>
      <c r="AF38" s="32"/>
      <c r="AG38" s="32"/>
      <c r="AH38" s="32"/>
    </row>
    <row r="39" spans="1:34" x14ac:dyDescent="0.25">
      <c r="A39" s="9" t="s">
        <v>192</v>
      </c>
      <c r="B39" s="9"/>
      <c r="C39" s="33"/>
      <c r="D39" s="33"/>
      <c r="E39" s="33"/>
      <c r="F39" s="33"/>
      <c r="G39" s="33"/>
      <c r="H39" s="33"/>
      <c r="I39" s="33"/>
      <c r="J39" s="33"/>
      <c r="K39" s="33"/>
      <c r="L39" s="33"/>
      <c r="M39" s="33"/>
      <c r="N39" s="33"/>
      <c r="O39" s="33"/>
      <c r="P39" s="33"/>
      <c r="Q39" s="32"/>
      <c r="R39" s="32"/>
      <c r="S39" s="32"/>
      <c r="T39" s="32"/>
      <c r="U39" s="32"/>
      <c r="V39" s="32"/>
      <c r="W39" s="32"/>
      <c r="X39" s="32"/>
      <c r="Y39" s="32"/>
      <c r="Z39" s="32"/>
      <c r="AA39" s="32"/>
      <c r="AB39" s="32"/>
      <c r="AC39" s="32"/>
      <c r="AD39" s="32"/>
      <c r="AE39" s="32"/>
      <c r="AF39" s="32"/>
      <c r="AG39" s="32"/>
      <c r="AH39" s="32"/>
    </row>
    <row r="40" spans="1:34" x14ac:dyDescent="0.25">
      <c r="A40" s="9" t="s">
        <v>193</v>
      </c>
      <c r="B40" s="9"/>
      <c r="C40" s="33"/>
      <c r="D40" s="33"/>
      <c r="E40" s="33"/>
      <c r="F40" s="33"/>
      <c r="G40" s="33"/>
      <c r="H40" s="33"/>
      <c r="I40" s="33"/>
      <c r="J40" s="33"/>
      <c r="K40" s="33"/>
      <c r="L40" s="33"/>
      <c r="M40" s="33"/>
      <c r="N40" s="33"/>
      <c r="O40" s="33"/>
      <c r="P40" s="33"/>
      <c r="Q40" s="32"/>
      <c r="R40" s="32"/>
      <c r="S40" s="32"/>
      <c r="T40" s="32"/>
      <c r="U40" s="32"/>
      <c r="V40" s="32"/>
      <c r="W40" s="32"/>
      <c r="X40" s="32"/>
      <c r="Y40" s="32"/>
      <c r="Z40" s="32"/>
      <c r="AA40" s="32"/>
      <c r="AB40" s="32"/>
      <c r="AC40" s="32"/>
      <c r="AD40" s="32"/>
      <c r="AE40" s="32"/>
      <c r="AF40" s="32"/>
      <c r="AG40" s="32"/>
      <c r="AH40" s="32"/>
    </row>
    <row r="41" spans="1:34" x14ac:dyDescent="0.25">
      <c r="A41" s="9" t="s">
        <v>194</v>
      </c>
      <c r="B41" s="9"/>
      <c r="C41" s="33"/>
      <c r="D41" s="33"/>
      <c r="E41" s="33"/>
      <c r="F41" s="33"/>
      <c r="G41" s="33"/>
      <c r="H41" s="33"/>
      <c r="I41" s="33"/>
      <c r="J41" s="33"/>
      <c r="K41" s="33"/>
      <c r="L41" s="33"/>
      <c r="M41" s="33"/>
      <c r="N41" s="33"/>
      <c r="O41" s="33"/>
      <c r="P41" s="33"/>
      <c r="Q41" s="32"/>
      <c r="R41" s="32"/>
      <c r="S41" s="32"/>
      <c r="T41" s="32"/>
      <c r="U41" s="32"/>
      <c r="V41" s="32"/>
      <c r="W41" s="32"/>
      <c r="X41" s="32"/>
      <c r="Y41" s="32"/>
      <c r="Z41" s="32"/>
      <c r="AA41" s="32"/>
      <c r="AB41" s="32"/>
      <c r="AC41" s="32"/>
      <c r="AD41" s="32"/>
      <c r="AE41" s="32"/>
      <c r="AF41" s="32"/>
      <c r="AG41" s="32"/>
      <c r="AH41" s="32"/>
    </row>
    <row r="42" spans="1:34" x14ac:dyDescent="0.25">
      <c r="A42" s="9" t="s">
        <v>195</v>
      </c>
      <c r="B42" s="9"/>
      <c r="C42" s="33"/>
      <c r="D42" s="33"/>
      <c r="E42" s="33"/>
      <c r="F42" s="33"/>
      <c r="G42" s="33"/>
      <c r="H42" s="33"/>
      <c r="I42" s="33"/>
      <c r="J42" s="33"/>
      <c r="K42" s="33"/>
      <c r="L42" s="33"/>
      <c r="M42" s="33"/>
      <c r="N42" s="33"/>
      <c r="O42" s="33"/>
      <c r="P42" s="33"/>
      <c r="Q42" s="32"/>
      <c r="R42" s="32"/>
      <c r="S42" s="32"/>
      <c r="T42" s="32"/>
      <c r="U42" s="32"/>
      <c r="V42" s="32"/>
      <c r="W42" s="32"/>
      <c r="X42" s="32"/>
      <c r="Y42" s="32"/>
      <c r="Z42" s="32"/>
      <c r="AA42" s="32"/>
      <c r="AB42" s="32"/>
      <c r="AC42" s="32"/>
      <c r="AD42" s="32"/>
      <c r="AE42" s="32"/>
      <c r="AF42" s="32"/>
      <c r="AG42" s="32"/>
      <c r="AH42" s="32"/>
    </row>
    <row r="43" spans="1:34" x14ac:dyDescent="0.25">
      <c r="A43" s="9" t="s">
        <v>5</v>
      </c>
      <c r="B43" s="9"/>
      <c r="C43" s="33"/>
      <c r="D43" s="33"/>
      <c r="E43" s="33"/>
      <c r="F43" s="33"/>
      <c r="G43" s="33"/>
      <c r="H43" s="33"/>
      <c r="I43" s="33"/>
      <c r="J43" s="33"/>
      <c r="K43" s="33"/>
      <c r="L43" s="33"/>
      <c r="M43" s="33"/>
      <c r="N43" s="33"/>
      <c r="O43" s="33"/>
      <c r="P43" s="33"/>
      <c r="Q43" s="32"/>
      <c r="R43" s="32"/>
      <c r="S43" s="32"/>
      <c r="T43" s="32"/>
      <c r="U43" s="32"/>
      <c r="V43" s="32"/>
      <c r="W43" s="32"/>
      <c r="X43" s="32"/>
      <c r="Y43" s="32"/>
      <c r="Z43" s="32"/>
      <c r="AA43" s="32"/>
      <c r="AB43" s="32"/>
      <c r="AC43" s="32"/>
      <c r="AD43" s="32"/>
      <c r="AE43" s="32"/>
      <c r="AF43" s="32"/>
      <c r="AG43" s="32"/>
      <c r="AH43" s="32"/>
    </row>
    <row r="44" spans="1:34" x14ac:dyDescent="0.25">
      <c r="A44" s="9" t="s">
        <v>42</v>
      </c>
      <c r="B44" s="9"/>
      <c r="C44" s="33"/>
      <c r="D44" s="33"/>
      <c r="E44" s="33"/>
      <c r="F44" s="33"/>
      <c r="G44" s="33"/>
      <c r="H44" s="33"/>
      <c r="I44" s="33"/>
      <c r="J44" s="33"/>
      <c r="K44" s="33"/>
      <c r="L44" s="33"/>
      <c r="M44" s="33"/>
      <c r="N44" s="33"/>
      <c r="O44" s="33"/>
      <c r="P44" s="33"/>
      <c r="Q44" s="32"/>
      <c r="R44" s="32"/>
      <c r="S44" s="32"/>
      <c r="T44" s="32"/>
      <c r="U44" s="32"/>
      <c r="V44" s="32"/>
      <c r="W44" s="32"/>
      <c r="X44" s="32"/>
      <c r="Y44" s="32"/>
      <c r="Z44" s="32"/>
      <c r="AA44" s="32"/>
      <c r="AB44" s="32"/>
      <c r="AC44" s="32"/>
      <c r="AD44" s="32"/>
      <c r="AE44" s="32"/>
      <c r="AF44" s="32"/>
      <c r="AG44" s="32"/>
      <c r="AH44" s="32"/>
    </row>
    <row r="45" spans="1:34" x14ac:dyDescent="0.25">
      <c r="A45" s="9" t="s">
        <v>196</v>
      </c>
      <c r="B45" s="9"/>
      <c r="C45" s="33"/>
      <c r="D45" s="33"/>
      <c r="E45" s="33"/>
      <c r="F45" s="33"/>
      <c r="G45" s="33"/>
      <c r="H45" s="33"/>
      <c r="I45" s="33"/>
      <c r="J45" s="33"/>
      <c r="K45" s="33"/>
      <c r="L45" s="33"/>
      <c r="M45" s="33"/>
      <c r="N45" s="33"/>
      <c r="O45" s="33"/>
      <c r="P45" s="33"/>
      <c r="Q45" s="32"/>
      <c r="R45" s="32"/>
      <c r="S45" s="32"/>
      <c r="T45" s="32"/>
      <c r="U45" s="32"/>
      <c r="V45" s="32"/>
      <c r="W45" s="32"/>
      <c r="X45" s="32"/>
      <c r="Y45" s="32"/>
      <c r="Z45" s="32"/>
      <c r="AA45" s="32"/>
      <c r="AB45" s="32"/>
      <c r="AC45" s="32"/>
      <c r="AD45" s="32"/>
      <c r="AE45" s="32"/>
      <c r="AF45" s="32"/>
      <c r="AG45" s="32"/>
      <c r="AH45" s="32"/>
    </row>
    <row r="46" spans="1:34" x14ac:dyDescent="0.25">
      <c r="A46" s="9" t="s">
        <v>197</v>
      </c>
      <c r="B46" s="9"/>
      <c r="C46" s="33"/>
      <c r="D46" s="33"/>
      <c r="E46" s="33"/>
      <c r="F46" s="33"/>
      <c r="G46" s="33"/>
      <c r="H46" s="33"/>
      <c r="I46" s="33"/>
      <c r="J46" s="33"/>
      <c r="K46" s="33"/>
      <c r="L46" s="33"/>
      <c r="M46" s="33"/>
      <c r="N46" s="33"/>
      <c r="O46" s="33"/>
      <c r="P46" s="33"/>
      <c r="Q46" s="32"/>
      <c r="R46" s="32"/>
      <c r="S46" s="32"/>
      <c r="T46" s="32"/>
      <c r="U46" s="32"/>
      <c r="V46" s="32"/>
      <c r="W46" s="32"/>
      <c r="X46" s="32"/>
      <c r="Y46" s="32"/>
      <c r="Z46" s="32"/>
      <c r="AA46" s="32"/>
      <c r="AB46" s="32"/>
      <c r="AC46" s="32"/>
      <c r="AD46" s="32"/>
      <c r="AE46" s="32"/>
      <c r="AF46" s="32"/>
      <c r="AG46" s="32"/>
      <c r="AH46" s="32"/>
    </row>
    <row r="47" spans="1:34" x14ac:dyDescent="0.25">
      <c r="A47" s="9" t="s">
        <v>198</v>
      </c>
      <c r="B47" s="9"/>
      <c r="C47" s="33"/>
      <c r="D47" s="33"/>
      <c r="E47" s="33"/>
      <c r="F47" s="33"/>
      <c r="G47" s="33"/>
      <c r="H47" s="33"/>
      <c r="I47" s="33"/>
      <c r="J47" s="33"/>
      <c r="K47" s="33"/>
      <c r="L47" s="33"/>
      <c r="M47" s="33"/>
      <c r="N47" s="33"/>
      <c r="O47" s="33"/>
      <c r="P47" s="33"/>
      <c r="Q47" s="32"/>
      <c r="R47" s="32"/>
      <c r="S47" s="32"/>
      <c r="T47" s="32"/>
      <c r="U47" s="32"/>
      <c r="V47" s="32"/>
      <c r="W47" s="32"/>
      <c r="X47" s="32"/>
      <c r="Y47" s="32"/>
      <c r="Z47" s="32"/>
      <c r="AA47" s="32"/>
      <c r="AB47" s="32"/>
      <c r="AC47" s="32"/>
      <c r="AD47" s="32"/>
      <c r="AE47" s="32"/>
      <c r="AF47" s="32"/>
      <c r="AG47" s="32"/>
      <c r="AH47" s="32"/>
    </row>
    <row r="48" spans="1:34" x14ac:dyDescent="0.25">
      <c r="A48" s="9" t="s">
        <v>199</v>
      </c>
      <c r="B48" s="9"/>
      <c r="C48" s="33"/>
      <c r="D48" s="33"/>
      <c r="E48" s="33"/>
      <c r="F48" s="33"/>
      <c r="G48" s="33"/>
      <c r="H48" s="33"/>
      <c r="I48" s="33"/>
      <c r="J48" s="33"/>
      <c r="K48" s="33"/>
      <c r="L48" s="33"/>
      <c r="M48" s="33"/>
      <c r="N48" s="33"/>
      <c r="O48" s="33"/>
      <c r="P48" s="33"/>
      <c r="Q48" s="32"/>
      <c r="R48" s="32"/>
      <c r="S48" s="32"/>
      <c r="T48" s="32"/>
      <c r="U48" s="32"/>
      <c r="V48" s="32"/>
      <c r="W48" s="32"/>
      <c r="X48" s="32"/>
      <c r="Y48" s="32"/>
      <c r="Z48" s="32"/>
      <c r="AA48" s="32"/>
      <c r="AB48" s="32"/>
      <c r="AC48" s="32"/>
      <c r="AD48" s="32"/>
      <c r="AE48" s="32"/>
      <c r="AF48" s="32"/>
      <c r="AG48" s="32"/>
      <c r="AH48" s="32"/>
    </row>
    <row r="49" spans="1:34" x14ac:dyDescent="0.25">
      <c r="A49" s="9" t="s">
        <v>200</v>
      </c>
      <c r="B49" s="9"/>
      <c r="C49" s="7" t="s">
        <v>9</v>
      </c>
      <c r="D49" s="8" t="s">
        <v>20</v>
      </c>
      <c r="E49" s="34"/>
      <c r="F49" s="7" t="s">
        <v>9</v>
      </c>
      <c r="G49" s="7" t="s">
        <v>206</v>
      </c>
      <c r="H49" s="8" t="s">
        <v>20</v>
      </c>
      <c r="I49" s="33"/>
      <c r="J49" s="33"/>
      <c r="K49" s="33"/>
      <c r="L49" s="33"/>
      <c r="M49" s="33"/>
      <c r="N49" s="33"/>
      <c r="O49" s="33"/>
      <c r="P49" s="33"/>
      <c r="Q49" s="32"/>
      <c r="R49" s="32"/>
      <c r="S49" s="32"/>
      <c r="T49" s="32"/>
      <c r="U49" s="32"/>
      <c r="V49" s="32"/>
      <c r="W49" s="32"/>
      <c r="X49" s="32"/>
      <c r="Y49" s="32"/>
      <c r="Z49" s="32"/>
      <c r="AA49" s="32"/>
      <c r="AB49" s="32"/>
      <c r="AC49" s="32"/>
      <c r="AD49" s="32"/>
      <c r="AE49" s="32"/>
      <c r="AF49" s="32"/>
      <c r="AG49" s="32"/>
      <c r="AH49" s="32"/>
    </row>
    <row r="50" spans="1:34" x14ac:dyDescent="0.25">
      <c r="A50" s="9" t="s">
        <v>201</v>
      </c>
      <c r="B50" s="9"/>
      <c r="C50" s="35" t="s">
        <v>10</v>
      </c>
      <c r="D50" s="36">
        <v>50</v>
      </c>
      <c r="E50" s="34"/>
      <c r="F50" s="35" t="s">
        <v>10</v>
      </c>
      <c r="G50" s="35" t="s">
        <v>207</v>
      </c>
      <c r="H50" s="36">
        <v>50</v>
      </c>
      <c r="I50" s="33"/>
      <c r="J50" s="33"/>
      <c r="K50" s="33"/>
      <c r="L50" s="33"/>
      <c r="M50" s="33"/>
      <c r="N50" s="33"/>
      <c r="O50" s="33"/>
      <c r="P50" s="33"/>
      <c r="Q50" s="32"/>
      <c r="R50" s="32"/>
      <c r="S50" s="32"/>
      <c r="T50" s="32"/>
      <c r="U50" s="32"/>
      <c r="V50" s="32"/>
      <c r="W50" s="32"/>
      <c r="X50" s="32"/>
      <c r="Y50" s="32"/>
      <c r="Z50" s="32"/>
      <c r="AA50" s="32"/>
      <c r="AB50" s="32"/>
      <c r="AC50" s="32"/>
      <c r="AD50" s="32"/>
      <c r="AE50" s="32"/>
      <c r="AF50" s="32"/>
      <c r="AG50" s="32"/>
      <c r="AH50" s="32"/>
    </row>
    <row r="51" spans="1:34" x14ac:dyDescent="0.25">
      <c r="A51" s="9" t="s">
        <v>202</v>
      </c>
      <c r="B51" s="9"/>
      <c r="C51" s="35" t="s">
        <v>11</v>
      </c>
      <c r="D51" s="36">
        <v>20</v>
      </c>
      <c r="E51" s="34"/>
      <c r="F51" s="35" t="s">
        <v>11</v>
      </c>
      <c r="G51" s="35" t="s">
        <v>208</v>
      </c>
      <c r="H51" s="36">
        <v>20</v>
      </c>
      <c r="I51" s="33"/>
      <c r="J51" s="33"/>
      <c r="K51" s="33"/>
      <c r="L51" s="33"/>
      <c r="M51" s="33"/>
      <c r="N51" s="33"/>
      <c r="O51" s="33"/>
      <c r="P51" s="33"/>
      <c r="Q51" s="32"/>
      <c r="R51" s="32"/>
      <c r="S51" s="32"/>
      <c r="T51" s="32"/>
      <c r="U51" s="32"/>
      <c r="V51" s="32"/>
      <c r="W51" s="32"/>
      <c r="X51" s="32"/>
      <c r="Y51" s="32"/>
      <c r="Z51" s="32"/>
      <c r="AA51" s="32"/>
      <c r="AB51" s="32"/>
      <c r="AC51" s="32"/>
      <c r="AD51" s="32"/>
      <c r="AE51" s="32"/>
      <c r="AF51" s="32"/>
      <c r="AG51" s="32"/>
      <c r="AH51" s="32"/>
    </row>
    <row r="52" spans="1:34" x14ac:dyDescent="0.25">
      <c r="A52" s="9" t="s">
        <v>203</v>
      </c>
      <c r="B52" s="9"/>
      <c r="C52" s="35" t="s">
        <v>12</v>
      </c>
      <c r="D52" s="36">
        <v>60</v>
      </c>
      <c r="E52" s="34"/>
      <c r="F52" s="35" t="s">
        <v>12</v>
      </c>
      <c r="G52" s="35" t="s">
        <v>209</v>
      </c>
      <c r="H52" s="36">
        <v>60</v>
      </c>
      <c r="I52" s="33"/>
      <c r="J52" s="33"/>
      <c r="K52" s="33"/>
      <c r="L52" s="33"/>
      <c r="M52" s="33"/>
      <c r="N52" s="33"/>
      <c r="O52" s="33"/>
      <c r="P52" s="33"/>
      <c r="Q52" s="32"/>
      <c r="R52" s="32"/>
      <c r="S52" s="32"/>
      <c r="T52" s="32"/>
      <c r="U52" s="32"/>
      <c r="V52" s="32"/>
      <c r="W52" s="32"/>
      <c r="X52" s="32"/>
      <c r="Y52" s="32"/>
      <c r="Z52" s="32"/>
      <c r="AA52" s="32"/>
      <c r="AB52" s="32"/>
      <c r="AC52" s="32"/>
      <c r="AD52" s="32"/>
      <c r="AE52" s="32"/>
      <c r="AF52" s="32"/>
      <c r="AG52" s="32"/>
      <c r="AH52" s="32"/>
    </row>
    <row r="53" spans="1:34" x14ac:dyDescent="0.25">
      <c r="A53" s="9" t="s">
        <v>7</v>
      </c>
      <c r="B53" s="9"/>
      <c r="C53" s="35" t="s">
        <v>13</v>
      </c>
      <c r="D53" s="36">
        <v>40</v>
      </c>
      <c r="E53" s="34"/>
      <c r="F53" s="35" t="s">
        <v>13</v>
      </c>
      <c r="G53" s="35" t="s">
        <v>210</v>
      </c>
      <c r="H53" s="36">
        <v>40</v>
      </c>
      <c r="I53" s="33"/>
      <c r="J53" s="33"/>
      <c r="K53" s="33"/>
      <c r="L53" s="33"/>
      <c r="M53" s="33"/>
      <c r="N53" s="33"/>
      <c r="O53" s="33"/>
      <c r="P53" s="33"/>
      <c r="Q53" s="32"/>
      <c r="R53" s="32"/>
      <c r="S53" s="32"/>
      <c r="T53" s="32"/>
      <c r="U53" s="32"/>
      <c r="V53" s="32"/>
      <c r="W53" s="32"/>
      <c r="X53" s="32"/>
      <c r="Y53" s="32"/>
      <c r="Z53" s="32"/>
      <c r="AA53" s="32"/>
      <c r="AB53" s="32"/>
      <c r="AC53" s="32"/>
      <c r="AD53" s="32"/>
      <c r="AE53" s="32"/>
      <c r="AF53" s="32"/>
      <c r="AG53" s="32"/>
      <c r="AH53" s="32"/>
    </row>
    <row r="54" spans="1:34" x14ac:dyDescent="0.25">
      <c r="A54" s="9" t="s">
        <v>8</v>
      </c>
      <c r="B54" s="9"/>
      <c r="C54" s="35" t="s">
        <v>10</v>
      </c>
      <c r="D54" s="36">
        <v>50</v>
      </c>
      <c r="E54" s="34"/>
      <c r="F54" s="35" t="s">
        <v>10</v>
      </c>
      <c r="G54" s="35" t="s">
        <v>211</v>
      </c>
      <c r="H54" s="36">
        <v>50</v>
      </c>
      <c r="I54" s="33"/>
      <c r="J54" s="33"/>
      <c r="K54" s="33"/>
      <c r="L54" s="33"/>
      <c r="M54" s="33"/>
      <c r="N54" s="33"/>
      <c r="O54" s="33"/>
      <c r="P54" s="33"/>
      <c r="Q54" s="32"/>
      <c r="R54" s="32"/>
      <c r="S54" s="32"/>
      <c r="T54" s="32"/>
      <c r="U54" s="32"/>
      <c r="V54" s="32"/>
      <c r="W54" s="32"/>
      <c r="X54" s="32"/>
      <c r="Y54" s="32"/>
      <c r="Z54" s="32"/>
      <c r="AA54" s="32"/>
      <c r="AB54" s="32"/>
      <c r="AC54" s="32"/>
      <c r="AD54" s="32"/>
      <c r="AE54" s="32"/>
      <c r="AF54" s="32"/>
      <c r="AG54" s="32"/>
      <c r="AH54" s="32"/>
    </row>
    <row r="55" spans="1:34" x14ac:dyDescent="0.25">
      <c r="A55" s="9" t="s">
        <v>4</v>
      </c>
      <c r="B55" s="9"/>
      <c r="C55" s="35" t="s">
        <v>11</v>
      </c>
      <c r="D55" s="36">
        <v>20</v>
      </c>
      <c r="E55" s="34"/>
      <c r="F55" s="35" t="s">
        <v>11</v>
      </c>
      <c r="G55" s="35" t="s">
        <v>212</v>
      </c>
      <c r="H55" s="36">
        <v>20</v>
      </c>
      <c r="I55" s="33"/>
      <c r="J55" s="33"/>
      <c r="K55" s="33"/>
      <c r="L55" s="33"/>
      <c r="M55" s="33"/>
      <c r="N55" s="33"/>
      <c r="O55" s="33"/>
      <c r="P55" s="33"/>
      <c r="Q55" s="32"/>
      <c r="R55" s="32"/>
      <c r="S55" s="32"/>
      <c r="T55" s="32"/>
      <c r="U55" s="32"/>
      <c r="V55" s="32"/>
      <c r="W55" s="32"/>
      <c r="X55" s="32"/>
      <c r="Y55" s="32"/>
      <c r="Z55" s="32"/>
      <c r="AA55" s="32"/>
      <c r="AB55" s="32"/>
      <c r="AC55" s="32"/>
      <c r="AD55" s="32"/>
      <c r="AE55" s="32"/>
      <c r="AF55" s="32"/>
      <c r="AG55" s="32"/>
      <c r="AH55" s="32"/>
    </row>
    <row r="56" spans="1:34" x14ac:dyDescent="0.25">
      <c r="B56" s="9"/>
      <c r="C56" s="35" t="s">
        <v>12</v>
      </c>
      <c r="D56" s="36">
        <v>60</v>
      </c>
      <c r="E56" s="34"/>
      <c r="F56" s="35" t="s">
        <v>12</v>
      </c>
      <c r="G56" s="35" t="s">
        <v>213</v>
      </c>
      <c r="H56" s="36">
        <v>60</v>
      </c>
      <c r="I56" s="33"/>
      <c r="J56" s="33"/>
      <c r="K56" s="33"/>
      <c r="L56" s="33"/>
      <c r="M56" s="33"/>
      <c r="N56" s="33"/>
      <c r="O56" s="33"/>
      <c r="P56" s="33"/>
      <c r="Q56" s="32"/>
      <c r="R56" s="32"/>
      <c r="S56" s="32"/>
      <c r="T56" s="32"/>
      <c r="U56" s="32"/>
      <c r="V56" s="32"/>
      <c r="W56" s="32"/>
      <c r="X56" s="32"/>
      <c r="Y56" s="32"/>
      <c r="Z56" s="32"/>
      <c r="AA56" s="32"/>
      <c r="AB56" s="32"/>
      <c r="AC56" s="32"/>
      <c r="AD56" s="32"/>
      <c r="AE56" s="32"/>
      <c r="AF56" s="32"/>
      <c r="AG56" s="32"/>
      <c r="AH56" s="32"/>
    </row>
    <row r="57" spans="1:34" x14ac:dyDescent="0.25">
      <c r="B57" s="9"/>
      <c r="C57" s="35" t="s">
        <v>13</v>
      </c>
      <c r="D57" s="36">
        <v>40</v>
      </c>
      <c r="E57" s="34"/>
      <c r="F57" s="35" t="s">
        <v>13</v>
      </c>
      <c r="G57" s="35" t="s">
        <v>214</v>
      </c>
      <c r="H57" s="36">
        <v>40</v>
      </c>
      <c r="I57" s="33"/>
      <c r="J57" s="33"/>
      <c r="K57" s="33"/>
      <c r="L57" s="33"/>
      <c r="M57" s="33"/>
      <c r="N57" s="33"/>
      <c r="O57" s="33"/>
      <c r="P57" s="33"/>
      <c r="Q57" s="32"/>
      <c r="R57" s="32"/>
      <c r="S57" s="32"/>
      <c r="T57" s="32"/>
      <c r="U57" s="32"/>
      <c r="V57" s="32"/>
      <c r="W57" s="32"/>
      <c r="X57" s="32"/>
      <c r="Y57" s="32"/>
      <c r="Z57" s="32"/>
      <c r="AA57" s="32"/>
      <c r="AB57" s="32"/>
      <c r="AC57" s="32"/>
      <c r="AD57" s="32"/>
      <c r="AE57" s="32"/>
      <c r="AF57" s="32"/>
      <c r="AG57" s="32"/>
      <c r="AH57" s="32"/>
    </row>
    <row r="58" spans="1:34" x14ac:dyDescent="0.25">
      <c r="B58" s="9"/>
      <c r="C58" s="35" t="s">
        <v>10</v>
      </c>
      <c r="D58" s="36">
        <v>50</v>
      </c>
      <c r="E58" s="34"/>
      <c r="F58" s="35" t="s">
        <v>10</v>
      </c>
      <c r="G58" s="35" t="s">
        <v>211</v>
      </c>
      <c r="H58" s="36">
        <v>50</v>
      </c>
      <c r="I58" s="33"/>
      <c r="J58" s="33"/>
      <c r="K58" s="33"/>
      <c r="L58" s="33"/>
      <c r="M58" s="33"/>
      <c r="N58" s="33"/>
      <c r="O58" s="33"/>
      <c r="P58" s="33"/>
      <c r="Q58" s="32"/>
      <c r="R58" s="32"/>
      <c r="S58" s="32"/>
      <c r="T58" s="32"/>
      <c r="U58" s="32"/>
      <c r="V58" s="32"/>
      <c r="W58" s="32"/>
      <c r="X58" s="32"/>
      <c r="Y58" s="32"/>
      <c r="Z58" s="32"/>
      <c r="AA58" s="32"/>
      <c r="AB58" s="32"/>
      <c r="AC58" s="32"/>
      <c r="AD58" s="32"/>
      <c r="AE58" s="32"/>
      <c r="AF58" s="32"/>
      <c r="AG58" s="32"/>
      <c r="AH58" s="32"/>
    </row>
    <row r="59" spans="1:34" x14ac:dyDescent="0.25">
      <c r="B59" s="9"/>
      <c r="C59" s="35" t="s">
        <v>11</v>
      </c>
      <c r="D59" s="36">
        <v>20</v>
      </c>
      <c r="E59" s="34"/>
      <c r="F59" s="35" t="s">
        <v>11</v>
      </c>
      <c r="G59" s="35" t="s">
        <v>212</v>
      </c>
      <c r="H59" s="36">
        <v>20</v>
      </c>
      <c r="I59" s="33"/>
      <c r="J59" s="33"/>
      <c r="K59" s="33"/>
      <c r="L59" s="33"/>
      <c r="M59" s="33"/>
      <c r="N59" s="33"/>
      <c r="O59" s="33"/>
      <c r="P59" s="33"/>
      <c r="Q59" s="32"/>
      <c r="R59" s="32"/>
      <c r="S59" s="32"/>
      <c r="T59" s="32"/>
      <c r="U59" s="32"/>
      <c r="V59" s="32"/>
      <c r="W59" s="32"/>
      <c r="X59" s="32"/>
      <c r="Y59" s="32"/>
      <c r="Z59" s="32"/>
      <c r="AA59" s="32"/>
      <c r="AB59" s="32"/>
      <c r="AC59" s="32"/>
      <c r="AD59" s="32"/>
      <c r="AE59" s="32"/>
      <c r="AF59" s="32"/>
      <c r="AG59" s="32"/>
      <c r="AH59" s="32"/>
    </row>
    <row r="60" spans="1:34" x14ac:dyDescent="0.25">
      <c r="B60" s="9"/>
      <c r="C60" s="35" t="s">
        <v>12</v>
      </c>
      <c r="D60" s="36">
        <v>60</v>
      </c>
      <c r="E60" s="34"/>
      <c r="F60" s="35" t="s">
        <v>12</v>
      </c>
      <c r="G60" s="35" t="s">
        <v>209</v>
      </c>
      <c r="H60" s="36">
        <v>60</v>
      </c>
      <c r="I60" s="33"/>
      <c r="J60" s="33"/>
      <c r="K60" s="33"/>
      <c r="L60" s="33"/>
      <c r="M60" s="33"/>
      <c r="N60" s="33"/>
      <c r="O60" s="33"/>
      <c r="P60" s="33"/>
      <c r="Q60" s="32"/>
      <c r="R60" s="32"/>
      <c r="S60" s="32"/>
      <c r="T60" s="32"/>
      <c r="U60" s="32"/>
      <c r="V60" s="32"/>
      <c r="W60" s="32"/>
      <c r="X60" s="32"/>
      <c r="Y60" s="32"/>
      <c r="Z60" s="32"/>
      <c r="AA60" s="32"/>
      <c r="AB60" s="32"/>
      <c r="AC60" s="32"/>
      <c r="AD60" s="32"/>
      <c r="AE60" s="32"/>
      <c r="AF60" s="32"/>
      <c r="AG60" s="32"/>
      <c r="AH60" s="32"/>
    </row>
    <row r="61" spans="1:34" x14ac:dyDescent="0.25">
      <c r="B61" s="9"/>
      <c r="C61" s="35" t="s">
        <v>13</v>
      </c>
      <c r="D61" s="36">
        <v>40</v>
      </c>
      <c r="E61" s="34"/>
      <c r="F61" s="35" t="s">
        <v>13</v>
      </c>
      <c r="G61" s="35" t="s">
        <v>214</v>
      </c>
      <c r="H61" s="36">
        <v>40</v>
      </c>
      <c r="I61" s="33"/>
      <c r="J61" s="33"/>
      <c r="K61" s="33"/>
      <c r="L61" s="33"/>
      <c r="M61" s="33"/>
      <c r="N61" s="33"/>
      <c r="O61" s="33"/>
      <c r="P61" s="33"/>
      <c r="Q61" s="32"/>
      <c r="R61" s="32"/>
      <c r="S61" s="32"/>
      <c r="T61" s="32"/>
      <c r="U61" s="32"/>
      <c r="V61" s="32"/>
      <c r="W61" s="32"/>
      <c r="X61" s="32"/>
      <c r="Y61" s="32"/>
      <c r="Z61" s="32"/>
      <c r="AA61" s="32"/>
      <c r="AB61" s="32"/>
      <c r="AC61" s="32"/>
      <c r="AD61" s="32"/>
      <c r="AE61" s="32"/>
      <c r="AF61" s="32"/>
      <c r="AG61" s="32"/>
      <c r="AH61" s="32"/>
    </row>
    <row r="62" spans="1:34" x14ac:dyDescent="0.25">
      <c r="B62" s="9"/>
      <c r="C62" s="21"/>
      <c r="D62" s="21"/>
      <c r="E62" s="21"/>
      <c r="F62" s="21"/>
      <c r="G62" s="21"/>
      <c r="H62" s="21"/>
      <c r="I62" s="33"/>
      <c r="J62" s="33"/>
      <c r="K62" s="33"/>
      <c r="L62" s="33"/>
      <c r="M62" s="33"/>
      <c r="N62" s="33"/>
      <c r="O62" s="33"/>
      <c r="P62" s="33"/>
      <c r="Q62" s="32"/>
      <c r="R62" s="32"/>
      <c r="S62" s="32"/>
      <c r="T62" s="32"/>
      <c r="U62" s="32"/>
      <c r="V62" s="32"/>
      <c r="W62" s="32"/>
      <c r="X62" s="32"/>
      <c r="Y62" s="32"/>
      <c r="Z62" s="32"/>
      <c r="AA62" s="32"/>
      <c r="AB62" s="32"/>
      <c r="AC62" s="32"/>
      <c r="AD62" s="32"/>
      <c r="AE62" s="32"/>
      <c r="AF62" s="32"/>
      <c r="AG62" s="32"/>
      <c r="AH62" s="32"/>
    </row>
    <row r="63" spans="1:34" ht="15.75" thickBot="1" x14ac:dyDescent="0.3">
      <c r="B63" s="9"/>
      <c r="C63" s="33" t="s">
        <v>9</v>
      </c>
      <c r="D63" s="23" t="s">
        <v>205</v>
      </c>
      <c r="E63" s="34"/>
      <c r="F63" s="33" t="s">
        <v>9</v>
      </c>
      <c r="G63" s="33" t="s">
        <v>206</v>
      </c>
      <c r="H63" s="23" t="s">
        <v>217</v>
      </c>
      <c r="I63" s="33"/>
      <c r="J63" s="33"/>
      <c r="K63" s="33"/>
      <c r="L63" s="33"/>
      <c r="M63" s="33"/>
      <c r="N63" s="33"/>
      <c r="O63" s="33"/>
      <c r="P63" s="33"/>
      <c r="Q63" s="32"/>
      <c r="R63" s="32"/>
      <c r="S63" s="32"/>
      <c r="T63" s="32"/>
      <c r="U63" s="32"/>
      <c r="V63" s="32"/>
      <c r="W63" s="32"/>
      <c r="X63" s="32"/>
      <c r="Y63" s="32"/>
      <c r="Z63" s="32"/>
      <c r="AA63" s="32"/>
      <c r="AB63" s="32"/>
      <c r="AC63" s="32"/>
      <c r="AD63" s="32"/>
      <c r="AE63" s="32"/>
      <c r="AF63" s="32"/>
      <c r="AG63" s="32"/>
      <c r="AH63" s="32"/>
    </row>
    <row r="64" spans="1:34" ht="16.5" thickTop="1" thickBot="1" x14ac:dyDescent="0.3">
      <c r="B64" s="9"/>
      <c r="C64" s="41" t="s">
        <v>10</v>
      </c>
      <c r="D64" s="42">
        <f>COUNTIF(C50:C61,C64)</f>
        <v>3</v>
      </c>
      <c r="E64" s="34"/>
      <c r="F64" s="41" t="s">
        <v>11</v>
      </c>
      <c r="G64" s="41" t="s">
        <v>208</v>
      </c>
      <c r="H64" s="37">
        <f>COUNTIFS(F50:F61,F64,G50:G61,G64)</f>
        <v>1</v>
      </c>
      <c r="I64" s="33"/>
      <c r="J64" s="33"/>
      <c r="K64" s="33"/>
      <c r="L64" s="33"/>
      <c r="M64" s="33"/>
      <c r="N64" s="33"/>
      <c r="O64" s="33"/>
      <c r="P64" s="33"/>
      <c r="Q64" s="32"/>
      <c r="R64" s="32"/>
      <c r="S64" s="32"/>
      <c r="T64" s="32"/>
      <c r="U64" s="32"/>
      <c r="V64" s="32"/>
      <c r="W64" s="32"/>
      <c r="X64" s="32"/>
      <c r="Y64" s="32"/>
      <c r="Z64" s="32"/>
      <c r="AA64" s="32"/>
      <c r="AB64" s="32"/>
      <c r="AC64" s="32"/>
      <c r="AD64" s="32"/>
      <c r="AE64" s="32"/>
      <c r="AF64" s="32"/>
      <c r="AG64" s="32"/>
      <c r="AH64" s="32"/>
    </row>
    <row r="65" spans="2:34" ht="15.75" thickTop="1" x14ac:dyDescent="0.25">
      <c r="B65" s="9"/>
      <c r="C65" s="33"/>
      <c r="D65" s="33"/>
      <c r="E65" s="34"/>
      <c r="F65" s="33"/>
      <c r="G65" s="33"/>
      <c r="H65" s="33"/>
      <c r="I65" s="33"/>
      <c r="J65" s="33"/>
      <c r="K65" s="33"/>
      <c r="L65" s="33"/>
      <c r="M65" s="33"/>
      <c r="N65" s="33"/>
      <c r="O65" s="33"/>
      <c r="P65" s="33"/>
      <c r="Q65" s="32"/>
      <c r="R65" s="32"/>
      <c r="S65" s="32"/>
      <c r="T65" s="32"/>
      <c r="U65" s="32"/>
      <c r="V65" s="32"/>
      <c r="W65" s="32"/>
      <c r="X65" s="32"/>
      <c r="Y65" s="32"/>
      <c r="Z65" s="32"/>
      <c r="AA65" s="32"/>
      <c r="AB65" s="32"/>
      <c r="AC65" s="32"/>
      <c r="AD65" s="32"/>
      <c r="AE65" s="32"/>
      <c r="AF65" s="32"/>
      <c r="AG65" s="32"/>
      <c r="AH65" s="32"/>
    </row>
    <row r="66" spans="2:34" x14ac:dyDescent="0.25">
      <c r="B66" s="9"/>
      <c r="C66" s="1"/>
      <c r="D66" s="1"/>
      <c r="E66" s="1"/>
      <c r="F66" s="1"/>
      <c r="G66" s="1"/>
      <c r="H66" s="1"/>
      <c r="I66" s="33"/>
      <c r="J66" s="33"/>
      <c r="K66" s="33"/>
      <c r="L66" s="33"/>
      <c r="M66" s="33"/>
      <c r="N66" s="33"/>
      <c r="O66" s="33"/>
      <c r="P66" s="33"/>
      <c r="Q66" s="32"/>
      <c r="R66" s="32"/>
      <c r="S66" s="32"/>
      <c r="T66" s="32"/>
      <c r="U66" s="32"/>
      <c r="V66" s="32"/>
      <c r="W66" s="32"/>
      <c r="X66" s="32"/>
      <c r="Y66" s="32"/>
      <c r="Z66" s="32"/>
      <c r="AA66" s="32"/>
      <c r="AB66" s="32"/>
      <c r="AC66" s="32"/>
      <c r="AD66" s="32"/>
      <c r="AE66" s="32"/>
      <c r="AF66" s="32"/>
      <c r="AG66" s="32"/>
      <c r="AH66" s="32"/>
    </row>
    <row r="67" spans="2:34" x14ac:dyDescent="0.25">
      <c r="B67" s="9"/>
      <c r="C67" s="1"/>
      <c r="D67" s="1"/>
      <c r="E67" s="1"/>
      <c r="F67" s="1"/>
      <c r="G67" s="1"/>
      <c r="H67" s="1"/>
      <c r="I67" s="33"/>
      <c r="J67" s="33"/>
      <c r="K67" s="33"/>
      <c r="L67" s="33"/>
      <c r="M67" s="33"/>
      <c r="N67" s="33"/>
      <c r="O67" s="33"/>
      <c r="P67" s="33"/>
      <c r="Q67" s="32"/>
      <c r="R67" s="32"/>
      <c r="S67" s="32"/>
      <c r="T67" s="32"/>
      <c r="U67" s="32"/>
      <c r="V67" s="32"/>
      <c r="W67" s="32"/>
      <c r="X67" s="32"/>
      <c r="Y67" s="32"/>
      <c r="Z67" s="32"/>
      <c r="AA67" s="32"/>
      <c r="AB67" s="32"/>
      <c r="AC67" s="32"/>
      <c r="AD67" s="32"/>
      <c r="AE67" s="32"/>
      <c r="AF67" s="32"/>
      <c r="AG67" s="32"/>
      <c r="AH67" s="32"/>
    </row>
    <row r="68" spans="2:34" x14ac:dyDescent="0.25">
      <c r="B68" s="9"/>
      <c r="C68" s="1"/>
      <c r="D68" s="1"/>
      <c r="E68" s="1"/>
      <c r="F68" s="1"/>
      <c r="G68" s="1"/>
      <c r="H68" s="1"/>
      <c r="I68" s="33"/>
      <c r="J68" s="33"/>
      <c r="K68" s="33"/>
      <c r="L68" s="33"/>
      <c r="M68" s="33"/>
      <c r="N68" s="33"/>
      <c r="O68" s="33"/>
      <c r="P68" s="33"/>
      <c r="Q68" s="32"/>
      <c r="R68" s="32"/>
      <c r="S68" s="32"/>
      <c r="T68" s="32"/>
      <c r="U68" s="32"/>
      <c r="V68" s="32"/>
      <c r="W68" s="32"/>
      <c r="X68" s="32"/>
      <c r="Y68" s="32"/>
      <c r="Z68" s="32"/>
      <c r="AA68" s="32"/>
      <c r="AB68" s="32"/>
      <c r="AC68" s="32"/>
      <c r="AD68" s="32"/>
      <c r="AE68" s="32"/>
      <c r="AF68" s="32"/>
      <c r="AG68" s="32"/>
      <c r="AH68" s="32"/>
    </row>
    <row r="69" spans="2:34" x14ac:dyDescent="0.25">
      <c r="B69" s="9"/>
      <c r="C69" s="1"/>
      <c r="D69" s="1"/>
      <c r="E69" s="1"/>
      <c r="F69" s="1"/>
      <c r="G69" s="1"/>
      <c r="H69" s="1"/>
      <c r="I69" s="33"/>
      <c r="J69" s="33"/>
      <c r="K69" s="33"/>
      <c r="L69" s="33"/>
      <c r="M69" s="33"/>
      <c r="N69" s="33"/>
      <c r="O69" s="33"/>
      <c r="P69" s="33"/>
      <c r="Q69" s="32"/>
      <c r="R69" s="32"/>
      <c r="S69" s="32"/>
      <c r="T69" s="32"/>
      <c r="U69" s="32"/>
      <c r="V69" s="32"/>
      <c r="W69" s="32"/>
      <c r="X69" s="32"/>
      <c r="Y69" s="32"/>
      <c r="Z69" s="32"/>
      <c r="AA69" s="32"/>
      <c r="AB69" s="32"/>
      <c r="AC69" s="32"/>
      <c r="AD69" s="32"/>
      <c r="AE69" s="32"/>
      <c r="AF69" s="32"/>
      <c r="AG69" s="32"/>
      <c r="AH69" s="32"/>
    </row>
    <row r="70" spans="2:34" x14ac:dyDescent="0.25">
      <c r="B70" s="9"/>
      <c r="C70" s="1"/>
      <c r="D70" s="1"/>
      <c r="E70" s="1"/>
      <c r="F70" s="1"/>
      <c r="G70" s="1"/>
      <c r="H70" s="1"/>
      <c r="I70" s="33"/>
      <c r="J70" s="33"/>
      <c r="K70" s="33"/>
      <c r="L70" s="33"/>
      <c r="M70" s="33"/>
      <c r="N70" s="33"/>
      <c r="O70" s="33"/>
      <c r="P70" s="33"/>
      <c r="Q70" s="32"/>
      <c r="R70" s="32"/>
      <c r="S70" s="32"/>
      <c r="T70" s="32"/>
      <c r="U70" s="32"/>
      <c r="V70" s="32"/>
      <c r="W70" s="32"/>
      <c r="X70" s="32"/>
      <c r="Y70" s="32"/>
      <c r="Z70" s="32"/>
      <c r="AA70" s="32"/>
      <c r="AB70" s="32"/>
      <c r="AC70" s="32"/>
      <c r="AD70" s="32"/>
      <c r="AE70" s="32"/>
      <c r="AF70" s="32"/>
      <c r="AG70" s="32"/>
      <c r="AH70" s="32"/>
    </row>
    <row r="71" spans="2:34" x14ac:dyDescent="0.25">
      <c r="B71" s="9"/>
      <c r="C71" s="1"/>
      <c r="D71" s="1"/>
      <c r="E71" s="1"/>
      <c r="F71" s="1"/>
      <c r="G71" s="1"/>
      <c r="H71" s="1"/>
      <c r="I71" s="33"/>
      <c r="J71" s="33"/>
      <c r="K71" s="33"/>
      <c r="L71" s="33"/>
      <c r="M71" s="33"/>
      <c r="N71" s="33"/>
      <c r="O71" s="33"/>
      <c r="P71" s="33"/>
      <c r="Q71" s="32"/>
      <c r="R71" s="32"/>
      <c r="S71" s="32"/>
      <c r="T71" s="32"/>
      <c r="U71" s="32"/>
      <c r="V71" s="32"/>
      <c r="W71" s="32"/>
      <c r="X71" s="32"/>
      <c r="Y71" s="32"/>
      <c r="Z71" s="32"/>
      <c r="AA71" s="32"/>
      <c r="AB71" s="32"/>
      <c r="AC71" s="32"/>
      <c r="AD71" s="32"/>
      <c r="AE71" s="32"/>
      <c r="AF71" s="32"/>
      <c r="AG71" s="32"/>
      <c r="AH71" s="32"/>
    </row>
    <row r="72" spans="2:34" x14ac:dyDescent="0.25">
      <c r="B72" s="9"/>
      <c r="C72" s="1"/>
      <c r="D72" s="1"/>
      <c r="E72" s="1"/>
      <c r="F72" s="1"/>
      <c r="G72" s="1"/>
      <c r="H72" s="1"/>
      <c r="I72" s="33"/>
      <c r="J72" s="33"/>
      <c r="K72" s="33"/>
      <c r="L72" s="33"/>
      <c r="M72" s="33"/>
      <c r="N72" s="33"/>
      <c r="O72" s="33"/>
      <c r="P72" s="33"/>
      <c r="Q72" s="32"/>
      <c r="R72" s="32"/>
      <c r="S72" s="32"/>
      <c r="T72" s="32"/>
      <c r="U72" s="32"/>
      <c r="V72" s="32"/>
      <c r="W72" s="32"/>
      <c r="X72" s="32"/>
      <c r="Y72" s="32"/>
      <c r="Z72" s="32"/>
      <c r="AA72" s="32"/>
      <c r="AB72" s="32"/>
      <c r="AC72" s="32"/>
      <c r="AD72" s="32"/>
      <c r="AE72" s="32"/>
      <c r="AF72" s="32"/>
      <c r="AG72" s="32"/>
      <c r="AH72" s="32"/>
    </row>
    <row r="73" spans="2:34" x14ac:dyDescent="0.25">
      <c r="B73" s="9"/>
      <c r="C73" s="1"/>
      <c r="D73" s="1"/>
      <c r="E73" s="1"/>
      <c r="F73" s="1"/>
      <c r="G73" s="1"/>
      <c r="H73" s="1"/>
      <c r="I73" s="33"/>
      <c r="J73" s="33"/>
      <c r="K73" s="33"/>
      <c r="L73" s="33"/>
      <c r="M73" s="33"/>
      <c r="N73" s="33"/>
      <c r="O73" s="33"/>
      <c r="P73" s="33"/>
      <c r="Q73" s="32"/>
      <c r="R73" s="32"/>
      <c r="S73" s="32"/>
      <c r="T73" s="32"/>
      <c r="U73" s="32"/>
      <c r="V73" s="32"/>
      <c r="W73" s="32"/>
      <c r="X73" s="32"/>
      <c r="Y73" s="32"/>
      <c r="Z73" s="32"/>
      <c r="AA73" s="32"/>
      <c r="AB73" s="32"/>
      <c r="AC73" s="32"/>
      <c r="AD73" s="32"/>
      <c r="AE73" s="32"/>
      <c r="AF73" s="32"/>
      <c r="AG73" s="32"/>
      <c r="AH73" s="32"/>
    </row>
    <row r="74" spans="2:34" x14ac:dyDescent="0.25">
      <c r="B74" s="9"/>
      <c r="C74" s="1"/>
      <c r="D74" s="1"/>
      <c r="E74" s="1"/>
      <c r="F74" s="1"/>
      <c r="G74" s="1"/>
      <c r="H74" s="1"/>
      <c r="I74" s="33"/>
      <c r="J74" s="33"/>
      <c r="K74" s="33"/>
      <c r="L74" s="33"/>
      <c r="M74" s="33"/>
      <c r="N74" s="33"/>
      <c r="O74" s="33"/>
      <c r="P74" s="33"/>
      <c r="Q74" s="32"/>
      <c r="R74" s="32"/>
      <c r="S74" s="32"/>
      <c r="T74" s="32"/>
      <c r="U74" s="32"/>
      <c r="V74" s="32"/>
      <c r="W74" s="32"/>
      <c r="X74" s="32"/>
      <c r="Y74" s="32"/>
      <c r="Z74" s="32"/>
      <c r="AA74" s="32"/>
      <c r="AB74" s="32"/>
      <c r="AC74" s="32"/>
      <c r="AD74" s="32"/>
      <c r="AE74" s="32"/>
      <c r="AF74" s="32"/>
      <c r="AG74" s="32"/>
      <c r="AH74" s="32"/>
    </row>
    <row r="75" spans="2:34" x14ac:dyDescent="0.25">
      <c r="B75" s="9"/>
      <c r="C75" s="1"/>
      <c r="D75" s="1"/>
      <c r="E75" s="1"/>
      <c r="F75" s="1"/>
      <c r="G75" s="1"/>
      <c r="H75" s="1"/>
      <c r="I75" s="33"/>
      <c r="J75" s="33"/>
      <c r="K75" s="33"/>
      <c r="L75" s="33"/>
      <c r="M75" s="33"/>
      <c r="N75" s="33"/>
      <c r="O75" s="33"/>
      <c r="P75" s="33"/>
      <c r="Q75" s="32"/>
      <c r="R75" s="32"/>
      <c r="S75" s="32"/>
      <c r="T75" s="32"/>
      <c r="U75" s="32"/>
      <c r="V75" s="32"/>
      <c r="W75" s="32"/>
      <c r="X75" s="32"/>
      <c r="Y75" s="32"/>
      <c r="Z75" s="32"/>
      <c r="AA75" s="32"/>
      <c r="AB75" s="32"/>
      <c r="AC75" s="32"/>
      <c r="AD75" s="32"/>
      <c r="AE75" s="32"/>
      <c r="AF75" s="32"/>
      <c r="AG75" s="32"/>
      <c r="AH75" s="32"/>
    </row>
    <row r="76" spans="2:34" x14ac:dyDescent="0.25">
      <c r="B76" s="9"/>
      <c r="C76" s="1"/>
      <c r="D76" s="1"/>
      <c r="E76" s="1"/>
      <c r="F76" s="1"/>
      <c r="G76" s="1"/>
      <c r="H76" s="1"/>
      <c r="I76" s="33"/>
      <c r="J76" s="33"/>
      <c r="K76" s="33"/>
      <c r="L76" s="33"/>
      <c r="M76" s="33"/>
      <c r="N76" s="33"/>
      <c r="O76" s="33"/>
      <c r="P76" s="33"/>
      <c r="Q76" s="32"/>
      <c r="R76" s="32"/>
      <c r="S76" s="32"/>
      <c r="T76" s="32"/>
      <c r="U76" s="32"/>
      <c r="V76" s="32"/>
      <c r="W76" s="32"/>
      <c r="X76" s="32"/>
      <c r="Y76" s="32"/>
      <c r="Z76" s="32"/>
      <c r="AA76" s="32"/>
      <c r="AB76" s="32"/>
      <c r="AC76" s="32"/>
      <c r="AD76" s="32"/>
      <c r="AE76" s="32"/>
      <c r="AF76" s="32"/>
      <c r="AG76" s="32"/>
      <c r="AH76" s="32"/>
    </row>
    <row r="77" spans="2:34" x14ac:dyDescent="0.25">
      <c r="B77" s="9"/>
      <c r="C77" s="1"/>
      <c r="D77" s="1"/>
      <c r="E77" s="1"/>
      <c r="F77" s="1"/>
      <c r="G77" s="1"/>
      <c r="H77" s="1"/>
      <c r="I77" s="33"/>
      <c r="J77" s="33"/>
      <c r="K77" s="33"/>
      <c r="L77" s="33"/>
      <c r="M77" s="33"/>
      <c r="N77" s="33"/>
      <c r="O77" s="33"/>
      <c r="P77" s="33"/>
      <c r="Q77" s="32"/>
      <c r="R77" s="32"/>
      <c r="S77" s="32"/>
      <c r="T77" s="32"/>
      <c r="U77" s="32"/>
      <c r="V77" s="32"/>
      <c r="W77" s="32"/>
      <c r="X77" s="32"/>
      <c r="Y77" s="32"/>
      <c r="Z77" s="32"/>
      <c r="AA77" s="32"/>
      <c r="AB77" s="32"/>
      <c r="AC77" s="32"/>
      <c r="AD77" s="32"/>
      <c r="AE77" s="32"/>
      <c r="AF77" s="32"/>
      <c r="AG77" s="32"/>
      <c r="AH77" s="32"/>
    </row>
    <row r="78" spans="2:34" x14ac:dyDescent="0.25">
      <c r="B78" s="9"/>
      <c r="C78" s="1"/>
      <c r="D78" s="1"/>
      <c r="E78" s="1"/>
      <c r="F78" s="1"/>
      <c r="G78" s="1"/>
      <c r="H78" s="1"/>
      <c r="I78" s="33"/>
      <c r="J78" s="33"/>
      <c r="K78" s="33"/>
      <c r="L78" s="33"/>
      <c r="M78" s="33"/>
      <c r="N78" s="33"/>
      <c r="O78" s="33"/>
      <c r="P78" s="33"/>
      <c r="Q78" s="32"/>
      <c r="R78" s="32"/>
      <c r="S78" s="32"/>
      <c r="T78" s="32"/>
      <c r="U78" s="32"/>
      <c r="V78" s="32"/>
      <c r="W78" s="32"/>
      <c r="X78" s="32"/>
      <c r="Y78" s="32"/>
      <c r="Z78" s="32"/>
      <c r="AA78" s="32"/>
      <c r="AB78" s="32"/>
      <c r="AC78" s="32"/>
      <c r="AD78" s="32"/>
      <c r="AE78" s="32"/>
      <c r="AF78" s="32"/>
      <c r="AG78" s="32"/>
      <c r="AH78" s="32"/>
    </row>
    <row r="79" spans="2:34" x14ac:dyDescent="0.25">
      <c r="B79" s="9"/>
      <c r="C79" s="1"/>
      <c r="D79" s="1"/>
      <c r="E79" s="1"/>
      <c r="F79" s="1"/>
      <c r="G79" s="1"/>
      <c r="H79" s="1"/>
      <c r="I79" s="33"/>
      <c r="J79" s="33"/>
      <c r="K79" s="33"/>
      <c r="L79" s="33"/>
      <c r="M79" s="33"/>
      <c r="N79" s="33"/>
      <c r="O79" s="33"/>
      <c r="P79" s="33"/>
      <c r="Q79" s="32"/>
      <c r="R79" s="32"/>
      <c r="S79" s="32"/>
      <c r="T79" s="32"/>
      <c r="U79" s="32"/>
      <c r="V79" s="32"/>
      <c r="W79" s="32"/>
      <c r="X79" s="32"/>
      <c r="Y79" s="32"/>
      <c r="Z79" s="32"/>
      <c r="AA79" s="32"/>
      <c r="AB79" s="32"/>
      <c r="AC79" s="32"/>
      <c r="AD79" s="32"/>
      <c r="AE79" s="32"/>
      <c r="AF79" s="32"/>
      <c r="AG79" s="32"/>
      <c r="AH79" s="32"/>
    </row>
    <row r="80" spans="2:34" x14ac:dyDescent="0.25">
      <c r="B80" s="9"/>
      <c r="C80" s="1"/>
      <c r="D80" s="1"/>
      <c r="E80" s="1"/>
      <c r="F80" s="1"/>
      <c r="G80" s="1"/>
      <c r="H80" s="1"/>
      <c r="I80" s="33"/>
      <c r="J80" s="33"/>
      <c r="K80" s="33"/>
      <c r="L80" s="33"/>
      <c r="M80" s="33"/>
      <c r="N80" s="33"/>
      <c r="O80" s="33"/>
      <c r="P80" s="33"/>
      <c r="Q80" s="32"/>
      <c r="R80" s="32"/>
      <c r="S80" s="32"/>
      <c r="T80" s="32"/>
      <c r="U80" s="32"/>
      <c r="V80" s="32"/>
      <c r="W80" s="32"/>
      <c r="X80" s="32"/>
      <c r="Y80" s="32"/>
      <c r="Z80" s="32"/>
      <c r="AA80" s="32"/>
      <c r="AB80" s="32"/>
      <c r="AC80" s="32"/>
      <c r="AD80" s="32"/>
      <c r="AE80" s="32"/>
      <c r="AF80" s="32"/>
      <c r="AG80" s="32"/>
      <c r="AH80" s="32"/>
    </row>
    <row r="81" spans="2:34" x14ac:dyDescent="0.25">
      <c r="B81" s="9"/>
      <c r="C81" s="1"/>
      <c r="D81" s="1"/>
      <c r="E81" s="1"/>
      <c r="F81" s="1"/>
      <c r="G81" s="1"/>
      <c r="H81" s="1"/>
      <c r="I81" s="33"/>
      <c r="J81" s="33"/>
      <c r="K81" s="33"/>
      <c r="L81" s="33"/>
      <c r="M81" s="33"/>
      <c r="N81" s="33"/>
      <c r="O81" s="33"/>
      <c r="P81" s="33"/>
      <c r="Q81" s="32"/>
      <c r="R81" s="32"/>
      <c r="S81" s="32"/>
      <c r="T81" s="32"/>
      <c r="U81" s="32"/>
      <c r="V81" s="32"/>
      <c r="W81" s="32"/>
      <c r="X81" s="32"/>
      <c r="Y81" s="32"/>
      <c r="Z81" s="32"/>
      <c r="AA81" s="32"/>
      <c r="AB81" s="32"/>
      <c r="AC81" s="32"/>
      <c r="AD81" s="32"/>
      <c r="AE81" s="32"/>
      <c r="AF81" s="32"/>
      <c r="AG81" s="32"/>
      <c r="AH81" s="32"/>
    </row>
    <row r="82" spans="2:34" x14ac:dyDescent="0.25">
      <c r="B82" s="9"/>
      <c r="F82" s="33"/>
      <c r="G82" s="33"/>
      <c r="H82" s="33"/>
      <c r="I82" s="33"/>
      <c r="J82" s="33"/>
      <c r="K82" s="33"/>
      <c r="L82" s="33"/>
      <c r="M82" s="33"/>
      <c r="N82" s="33"/>
      <c r="O82" s="33"/>
      <c r="P82" s="33"/>
      <c r="Q82" s="32"/>
      <c r="R82" s="32"/>
      <c r="S82" s="32"/>
      <c r="T82" s="32"/>
      <c r="U82" s="32"/>
      <c r="V82" s="32"/>
      <c r="W82" s="32"/>
      <c r="X82" s="32"/>
      <c r="Y82" s="32"/>
      <c r="Z82" s="32"/>
      <c r="AA82" s="32"/>
      <c r="AB82" s="32"/>
      <c r="AC82" s="32"/>
      <c r="AD82" s="32"/>
      <c r="AE82" s="32"/>
      <c r="AF82" s="32"/>
      <c r="AG82" s="32"/>
      <c r="AH82" s="32"/>
    </row>
    <row r="83" spans="2:34" x14ac:dyDescent="0.25">
      <c r="B83" s="9"/>
      <c r="F83" s="33"/>
      <c r="G83" s="33"/>
      <c r="H83" s="33"/>
      <c r="I83" s="33"/>
      <c r="J83" s="33"/>
      <c r="K83" s="33"/>
      <c r="L83" s="33"/>
      <c r="M83" s="33"/>
      <c r="N83" s="33"/>
      <c r="O83" s="33"/>
      <c r="P83" s="33"/>
      <c r="Q83" s="32"/>
      <c r="R83" s="32"/>
      <c r="S83" s="32"/>
      <c r="T83" s="32"/>
      <c r="U83" s="32"/>
      <c r="V83" s="32"/>
      <c r="W83" s="32"/>
      <c r="X83" s="32"/>
      <c r="Y83" s="32"/>
      <c r="Z83" s="32"/>
      <c r="AA83" s="32"/>
      <c r="AB83" s="32"/>
      <c r="AC83" s="32"/>
      <c r="AD83" s="32"/>
      <c r="AE83" s="32"/>
      <c r="AF83" s="32"/>
      <c r="AG83" s="32"/>
      <c r="AH83" s="32"/>
    </row>
    <row r="84" spans="2:34" x14ac:dyDescent="0.25">
      <c r="B84" s="9"/>
      <c r="F84" s="33"/>
      <c r="G84" s="33"/>
      <c r="H84" s="33"/>
      <c r="I84" s="33"/>
      <c r="J84" s="33"/>
      <c r="K84" s="33"/>
      <c r="L84" s="33"/>
      <c r="M84" s="33"/>
      <c r="N84" s="33"/>
      <c r="O84" s="33"/>
      <c r="P84" s="33"/>
      <c r="Q84" s="32"/>
      <c r="R84" s="32"/>
      <c r="S84" s="32"/>
      <c r="T84" s="32"/>
      <c r="U84" s="32"/>
      <c r="V84" s="32"/>
      <c r="W84" s="32"/>
      <c r="X84" s="32"/>
      <c r="Y84" s="32"/>
      <c r="Z84" s="32"/>
      <c r="AA84" s="32"/>
      <c r="AB84" s="32"/>
      <c r="AC84" s="32"/>
      <c r="AD84" s="32"/>
      <c r="AE84" s="32"/>
      <c r="AF84" s="32"/>
      <c r="AG84" s="32"/>
      <c r="AH84" s="32"/>
    </row>
    <row r="85" spans="2:34" x14ac:dyDescent="0.25">
      <c r="B85" s="9"/>
      <c r="F85" s="33"/>
      <c r="G85" s="33"/>
      <c r="H85" s="33"/>
      <c r="I85" s="33"/>
      <c r="J85" s="33"/>
      <c r="K85" s="33"/>
      <c r="L85" s="33"/>
      <c r="M85" s="33"/>
      <c r="N85" s="33"/>
      <c r="O85" s="33"/>
      <c r="P85" s="33"/>
      <c r="Q85" s="32"/>
      <c r="R85" s="32"/>
      <c r="S85" s="32"/>
      <c r="T85" s="32"/>
      <c r="U85" s="32"/>
      <c r="V85" s="32"/>
      <c r="W85" s="32"/>
      <c r="X85" s="32"/>
      <c r="Y85" s="32"/>
      <c r="Z85" s="32"/>
      <c r="AA85" s="32"/>
      <c r="AB85" s="32"/>
      <c r="AC85" s="32"/>
      <c r="AD85" s="32"/>
      <c r="AE85" s="32"/>
      <c r="AF85" s="32"/>
      <c r="AG85" s="32"/>
      <c r="AH85" s="32"/>
    </row>
    <row r="86" spans="2:34" x14ac:dyDescent="0.25">
      <c r="B86" s="9"/>
      <c r="F86" s="33"/>
      <c r="G86" s="33"/>
      <c r="H86" s="33"/>
      <c r="I86" s="33"/>
      <c r="J86" s="33"/>
      <c r="K86" s="33"/>
      <c r="L86" s="33"/>
      <c r="M86" s="33"/>
      <c r="N86" s="33"/>
      <c r="O86" s="33"/>
      <c r="P86" s="33"/>
      <c r="Q86" s="32"/>
      <c r="R86" s="32"/>
      <c r="S86" s="32"/>
      <c r="T86" s="32"/>
      <c r="U86" s="32"/>
      <c r="V86" s="32"/>
      <c r="W86" s="32"/>
      <c r="X86" s="32"/>
      <c r="Y86" s="32"/>
      <c r="Z86" s="32"/>
      <c r="AA86" s="32"/>
      <c r="AB86" s="32"/>
      <c r="AC86" s="32"/>
      <c r="AD86" s="32"/>
      <c r="AE86" s="32"/>
      <c r="AF86" s="32"/>
      <c r="AG86" s="32"/>
      <c r="AH86" s="32"/>
    </row>
    <row r="87" spans="2:34" x14ac:dyDescent="0.25">
      <c r="B87" s="9"/>
      <c r="F87" s="33"/>
      <c r="G87" s="33"/>
      <c r="H87" s="33"/>
      <c r="I87" s="33"/>
      <c r="J87" s="33"/>
      <c r="K87" s="33"/>
      <c r="L87" s="33"/>
      <c r="M87" s="33"/>
      <c r="N87" s="33"/>
      <c r="O87" s="33"/>
      <c r="P87" s="33"/>
      <c r="Q87" s="32"/>
      <c r="R87" s="32"/>
      <c r="S87" s="32"/>
      <c r="T87" s="32"/>
      <c r="U87" s="32"/>
      <c r="V87" s="32"/>
      <c r="W87" s="32"/>
      <c r="X87" s="32"/>
      <c r="Y87" s="32"/>
      <c r="Z87" s="32"/>
      <c r="AA87" s="32"/>
      <c r="AB87" s="32"/>
      <c r="AC87" s="32"/>
      <c r="AD87" s="32"/>
      <c r="AE87" s="32"/>
      <c r="AF87" s="32"/>
      <c r="AG87" s="32"/>
      <c r="AH87" s="32"/>
    </row>
    <row r="88" spans="2:34" x14ac:dyDescent="0.25">
      <c r="B88" s="9"/>
      <c r="F88" s="33"/>
      <c r="G88" s="33"/>
      <c r="H88" s="33"/>
      <c r="I88" s="33"/>
      <c r="J88" s="33"/>
      <c r="K88" s="33"/>
      <c r="L88" s="33"/>
      <c r="M88" s="33"/>
      <c r="N88" s="33"/>
      <c r="O88" s="33"/>
      <c r="P88" s="33"/>
      <c r="Q88" s="32"/>
      <c r="R88" s="32"/>
      <c r="S88" s="32"/>
      <c r="T88" s="32"/>
      <c r="U88" s="32"/>
      <c r="V88" s="32"/>
      <c r="W88" s="32"/>
      <c r="X88" s="32"/>
      <c r="Y88" s="32"/>
      <c r="Z88" s="32"/>
      <c r="AA88" s="32"/>
      <c r="AB88" s="32"/>
      <c r="AC88" s="32"/>
      <c r="AD88" s="32"/>
      <c r="AE88" s="32"/>
      <c r="AF88" s="32"/>
      <c r="AG88" s="32"/>
      <c r="AH88" s="32"/>
    </row>
    <row r="89" spans="2:34" x14ac:dyDescent="0.25">
      <c r="B89" s="9"/>
      <c r="F89" s="33"/>
      <c r="G89" s="33"/>
      <c r="H89" s="33"/>
      <c r="I89" s="33"/>
      <c r="J89" s="33"/>
      <c r="K89" s="33"/>
      <c r="L89" s="33"/>
      <c r="M89" s="33"/>
      <c r="N89" s="33"/>
      <c r="O89" s="33"/>
      <c r="P89" s="33"/>
      <c r="Q89" s="32"/>
      <c r="R89" s="32"/>
      <c r="S89" s="32"/>
      <c r="T89" s="32"/>
      <c r="U89" s="32"/>
      <c r="V89" s="32"/>
      <c r="W89" s="32"/>
      <c r="X89" s="32"/>
      <c r="Y89" s="32"/>
      <c r="Z89" s="32"/>
      <c r="AA89" s="32"/>
      <c r="AB89" s="32"/>
      <c r="AC89" s="32"/>
      <c r="AD89" s="32"/>
      <c r="AE89" s="32"/>
      <c r="AF89" s="32"/>
      <c r="AG89" s="32"/>
      <c r="AH89" s="32"/>
    </row>
    <row r="90" spans="2:34" ht="15" customHeight="1" x14ac:dyDescent="0.25">
      <c r="B90" s="9"/>
      <c r="F90" s="32"/>
      <c r="G90" s="32"/>
      <c r="H90" s="32"/>
      <c r="I90" s="32"/>
      <c r="J90" s="33"/>
      <c r="K90" s="33"/>
      <c r="L90" s="32"/>
      <c r="M90" s="32"/>
      <c r="N90" s="33"/>
      <c r="O90" s="32"/>
      <c r="P90" s="32"/>
      <c r="Q90" s="32"/>
      <c r="R90" s="32"/>
      <c r="S90" s="32"/>
      <c r="T90" s="32"/>
      <c r="U90" s="32"/>
      <c r="V90" s="32"/>
      <c r="W90" s="32"/>
      <c r="X90" s="32"/>
      <c r="Y90" s="32"/>
      <c r="Z90" s="32"/>
      <c r="AA90" s="32"/>
      <c r="AB90" s="32"/>
      <c r="AC90" s="32"/>
      <c r="AD90" s="32"/>
      <c r="AE90" s="32"/>
      <c r="AF90" s="32"/>
      <c r="AG90" s="32"/>
      <c r="AH90" s="32"/>
    </row>
    <row r="91" spans="2:34" ht="15" customHeight="1" x14ac:dyDescent="0.25">
      <c r="B91" s="9"/>
      <c r="C91" s="7" t="s">
        <v>9</v>
      </c>
      <c r="D91" s="7" t="s">
        <v>206</v>
      </c>
      <c r="E91" s="8" t="s">
        <v>20</v>
      </c>
      <c r="F91" s="32"/>
      <c r="G91" s="32"/>
      <c r="H91" s="32"/>
      <c r="I91" s="32"/>
      <c r="J91" s="33"/>
      <c r="K91" s="33"/>
      <c r="L91" s="32"/>
      <c r="M91" s="32"/>
      <c r="N91" s="33"/>
      <c r="O91" s="32"/>
      <c r="P91" s="32"/>
      <c r="Q91" s="32"/>
      <c r="R91" s="32"/>
      <c r="S91" s="32"/>
      <c r="T91" s="32"/>
      <c r="U91" s="32"/>
      <c r="V91" s="32"/>
      <c r="W91" s="32"/>
      <c r="X91" s="32"/>
      <c r="Y91" s="32"/>
      <c r="Z91" s="32"/>
      <c r="AA91" s="32"/>
      <c r="AB91" s="32"/>
      <c r="AC91" s="32"/>
      <c r="AD91" s="32"/>
      <c r="AE91" s="32"/>
      <c r="AF91" s="32"/>
      <c r="AG91" s="32"/>
      <c r="AH91" s="32"/>
    </row>
    <row r="92" spans="2:34" ht="15" customHeight="1" x14ac:dyDescent="0.25">
      <c r="B92" s="9"/>
      <c r="C92" s="35" t="s">
        <v>10</v>
      </c>
      <c r="D92" s="35" t="s">
        <v>207</v>
      </c>
      <c r="E92" s="36">
        <v>50</v>
      </c>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row>
    <row r="93" spans="2:34" ht="15" customHeight="1" x14ac:dyDescent="0.25">
      <c r="B93" s="9"/>
      <c r="C93" s="35" t="s">
        <v>11</v>
      </c>
      <c r="D93" s="35" t="s">
        <v>208</v>
      </c>
      <c r="E93" s="36">
        <v>20</v>
      </c>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row>
    <row r="94" spans="2:34" ht="15" customHeight="1" x14ac:dyDescent="0.25">
      <c r="B94" s="9"/>
      <c r="C94" s="35" t="s">
        <v>12</v>
      </c>
      <c r="D94" s="35" t="s">
        <v>209</v>
      </c>
      <c r="E94" s="36">
        <v>60</v>
      </c>
      <c r="H94" s="33"/>
      <c r="I94" s="33"/>
      <c r="J94" s="33"/>
      <c r="K94" s="33"/>
      <c r="L94" s="32"/>
      <c r="M94" s="32"/>
      <c r="N94" s="32"/>
      <c r="O94" s="32"/>
      <c r="P94" s="32"/>
      <c r="Q94" s="32"/>
      <c r="R94" s="32"/>
      <c r="S94" s="32"/>
      <c r="T94" s="32"/>
      <c r="U94" s="32"/>
      <c r="V94" s="32"/>
      <c r="W94" s="32"/>
      <c r="X94" s="32"/>
      <c r="Y94" s="32"/>
      <c r="Z94" s="32"/>
      <c r="AA94" s="32"/>
      <c r="AB94" s="32"/>
      <c r="AC94" s="32"/>
      <c r="AD94" s="32"/>
      <c r="AE94" s="32"/>
      <c r="AF94" s="32"/>
      <c r="AG94" s="32"/>
      <c r="AH94" s="32"/>
    </row>
    <row r="95" spans="2:34" ht="15" customHeight="1" x14ac:dyDescent="0.25">
      <c r="B95" s="9"/>
      <c r="C95" s="35" t="s">
        <v>13</v>
      </c>
      <c r="D95" s="35" t="s">
        <v>210</v>
      </c>
      <c r="E95" s="36">
        <v>40</v>
      </c>
      <c r="H95" s="33"/>
      <c r="I95" s="33"/>
      <c r="J95" s="33"/>
      <c r="K95" s="33"/>
      <c r="L95" s="32"/>
      <c r="M95" s="32"/>
      <c r="N95" s="32"/>
      <c r="O95" s="32"/>
      <c r="P95" s="32"/>
      <c r="Q95" s="32"/>
      <c r="R95" s="32"/>
      <c r="S95" s="32"/>
      <c r="T95" s="32"/>
      <c r="U95" s="32"/>
      <c r="V95" s="32"/>
      <c r="W95" s="32"/>
      <c r="X95" s="32"/>
      <c r="Y95" s="32"/>
      <c r="Z95" s="32"/>
      <c r="AA95" s="32"/>
      <c r="AB95" s="32"/>
      <c r="AC95" s="32"/>
      <c r="AD95" s="32"/>
      <c r="AE95" s="32"/>
      <c r="AF95" s="32"/>
      <c r="AG95" s="32"/>
      <c r="AH95" s="32"/>
    </row>
    <row r="96" spans="2:34" ht="15" customHeight="1" x14ac:dyDescent="0.25">
      <c r="B96" s="9"/>
      <c r="C96" s="35" t="s">
        <v>10</v>
      </c>
      <c r="D96" s="35" t="s">
        <v>211</v>
      </c>
      <c r="E96" s="36">
        <v>50</v>
      </c>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row>
    <row r="97" spans="2:34" x14ac:dyDescent="0.25">
      <c r="B97" s="9"/>
      <c r="C97" s="35" t="s">
        <v>11</v>
      </c>
      <c r="D97" s="35" t="s">
        <v>212</v>
      </c>
      <c r="E97" s="36">
        <v>20</v>
      </c>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row>
    <row r="98" spans="2:34" x14ac:dyDescent="0.25">
      <c r="B98" s="9"/>
      <c r="C98" s="35" t="s">
        <v>12</v>
      </c>
      <c r="D98" s="35" t="s">
        <v>213</v>
      </c>
      <c r="E98" s="36">
        <v>60</v>
      </c>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row>
    <row r="99" spans="2:34" x14ac:dyDescent="0.25">
      <c r="B99" s="9"/>
      <c r="C99" s="35" t="s">
        <v>13</v>
      </c>
      <c r="D99" s="35" t="s">
        <v>214</v>
      </c>
      <c r="E99" s="36">
        <v>40</v>
      </c>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row>
    <row r="100" spans="2:34" x14ac:dyDescent="0.25">
      <c r="B100" s="9"/>
      <c r="C100" s="35" t="s">
        <v>10</v>
      </c>
      <c r="D100" s="35" t="s">
        <v>211</v>
      </c>
      <c r="E100" s="36">
        <v>50</v>
      </c>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row>
    <row r="101" spans="2:34" x14ac:dyDescent="0.25">
      <c r="B101" s="9"/>
      <c r="C101" s="35" t="s">
        <v>11</v>
      </c>
      <c r="D101" s="35" t="s">
        <v>212</v>
      </c>
      <c r="E101" s="36">
        <v>20</v>
      </c>
      <c r="F101" s="32"/>
      <c r="G101" s="32"/>
    </row>
    <row r="102" spans="2:34" ht="15" customHeight="1" x14ac:dyDescent="0.25">
      <c r="B102" s="9"/>
      <c r="C102" s="35" t="s">
        <v>12</v>
      </c>
      <c r="D102" s="35" t="s">
        <v>209</v>
      </c>
      <c r="E102" s="36">
        <v>60</v>
      </c>
      <c r="F102" s="32"/>
      <c r="G102" s="32"/>
    </row>
    <row r="103" spans="2:34" ht="15" customHeight="1" x14ac:dyDescent="0.25">
      <c r="B103" s="9"/>
      <c r="C103" s="35" t="s">
        <v>13</v>
      </c>
      <c r="D103" s="35" t="s">
        <v>214</v>
      </c>
      <c r="E103" s="36">
        <v>40</v>
      </c>
      <c r="F103" s="32"/>
      <c r="G103" s="32"/>
    </row>
    <row r="104" spans="2:34" ht="15" customHeight="1" x14ac:dyDescent="0.25">
      <c r="B104" s="9"/>
      <c r="C104" s="33"/>
      <c r="D104" s="33"/>
      <c r="E104" s="34"/>
    </row>
    <row r="105" spans="2:34" ht="15" customHeight="1" thickBot="1" x14ac:dyDescent="0.3">
      <c r="B105" s="9"/>
      <c r="C105" s="33" t="s">
        <v>9</v>
      </c>
      <c r="D105" s="33" t="s">
        <v>206</v>
      </c>
      <c r="E105" s="23" t="s">
        <v>215</v>
      </c>
    </row>
    <row r="106" spans="2:34" ht="15" customHeight="1" thickTop="1" thickBot="1" x14ac:dyDescent="0.3">
      <c r="B106" s="9"/>
      <c r="C106" s="41" t="s">
        <v>13</v>
      </c>
      <c r="D106" s="41" t="s">
        <v>214</v>
      </c>
      <c r="E106" s="37">
        <f>AVERAGEIFS(E92:E103,C92:C103,C106,D92:D103,D106)</f>
        <v>40</v>
      </c>
    </row>
    <row r="107" spans="2:34" ht="15" customHeight="1" thickTop="1" x14ac:dyDescent="0.25">
      <c r="B107" s="9"/>
      <c r="E107" s="32"/>
    </row>
    <row r="108" spans="2:34" x14ac:dyDescent="0.25">
      <c r="E108" s="32"/>
    </row>
    <row r="109" spans="2:34" x14ac:dyDescent="0.25">
      <c r="E109" s="32"/>
    </row>
    <row r="110" spans="2:34" x14ac:dyDescent="0.25">
      <c r="E110" s="32"/>
    </row>
    <row r="117" spans="3:4" x14ac:dyDescent="0.25">
      <c r="C117" s="7" t="s">
        <v>14</v>
      </c>
      <c r="D117" s="8" t="s">
        <v>20</v>
      </c>
    </row>
    <row r="118" spans="3:4" x14ac:dyDescent="0.25">
      <c r="C118" s="13" t="s">
        <v>15</v>
      </c>
      <c r="D118" s="13">
        <v>50</v>
      </c>
    </row>
    <row r="119" spans="3:4" x14ac:dyDescent="0.25">
      <c r="C119" s="13" t="s">
        <v>16</v>
      </c>
      <c r="D119" s="13">
        <v>100</v>
      </c>
    </row>
    <row r="120" spans="3:4" x14ac:dyDescent="0.25">
      <c r="C120" s="13" t="s">
        <v>17</v>
      </c>
      <c r="D120" s="13">
        <v>40</v>
      </c>
    </row>
    <row r="121" spans="3:4" x14ac:dyDescent="0.25">
      <c r="C121" s="13" t="s">
        <v>18</v>
      </c>
      <c r="D121" s="13">
        <v>50</v>
      </c>
    </row>
    <row r="122" spans="3:4" ht="15.75" thickBot="1" x14ac:dyDescent="0.3">
      <c r="C122" s="13" t="s">
        <v>19</v>
      </c>
      <c r="D122" s="13">
        <v>20</v>
      </c>
    </row>
    <row r="123" spans="3:4" ht="16.5" thickTop="1" thickBot="1" x14ac:dyDescent="0.3">
      <c r="C123" s="46"/>
      <c r="D123" s="47">
        <f>SUMIF(D118:D122,"&gt;=50")</f>
        <v>200</v>
      </c>
    </row>
    <row r="124" spans="3:4" ht="15.75" thickTop="1" x14ac:dyDescent="0.25"/>
  </sheetData>
  <dataValidations disablePrompts="1" count="2">
    <dataValidation type="list" allowBlank="1" showInputMessage="1" showErrorMessage="1" sqref="C17 C64 F17 F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9" sqref="D9"/>
    </sheetView>
  </sheetViews>
  <sheetFormatPr defaultRowHeight="15" x14ac:dyDescent="0.25"/>
  <cols>
    <col min="1" max="1" width="13" customWidth="1"/>
    <col min="2" max="2" width="82.85546875" customWidth="1"/>
    <col min="3" max="4" width="13.140625" customWidth="1"/>
  </cols>
  <sheetData>
    <row r="1" spans="1:4" ht="60" customHeight="1" x14ac:dyDescent="0.25">
      <c r="A1" s="25" t="s">
        <v>218</v>
      </c>
      <c r="C1" s="56"/>
      <c r="D1" s="58"/>
    </row>
    <row r="2" spans="1:4" x14ac:dyDescent="0.25">
      <c r="A2" s="25" t="s">
        <v>219</v>
      </c>
    </row>
    <row r="3" spans="1:4" ht="15" customHeight="1" x14ac:dyDescent="0.25">
      <c r="A3" s="27" t="s">
        <v>220</v>
      </c>
    </row>
    <row r="4" spans="1:4" ht="15" customHeight="1" x14ac:dyDescent="0.25">
      <c r="A4" s="27" t="s">
        <v>221</v>
      </c>
      <c r="C4" s="31" t="s">
        <v>9</v>
      </c>
      <c r="D4" s="29" t="s">
        <v>20</v>
      </c>
    </row>
    <row r="5" spans="1:4" ht="15" customHeight="1" x14ac:dyDescent="0.25">
      <c r="A5" s="27" t="s">
        <v>222</v>
      </c>
      <c r="C5" s="35" t="s">
        <v>10</v>
      </c>
      <c r="D5" s="36">
        <v>50</v>
      </c>
    </row>
    <row r="6" spans="1:4" x14ac:dyDescent="0.25">
      <c r="A6" s="25" t="s">
        <v>223</v>
      </c>
      <c r="C6" s="35" t="s">
        <v>11</v>
      </c>
      <c r="D6" s="36">
        <v>20</v>
      </c>
    </row>
    <row r="7" spans="1:4" ht="15" customHeight="1" x14ac:dyDescent="0.25">
      <c r="A7" s="27" t="s">
        <v>224</v>
      </c>
      <c r="C7" s="35" t="s">
        <v>12</v>
      </c>
      <c r="D7" s="36">
        <v>60</v>
      </c>
    </row>
    <row r="8" spans="1:4" ht="15" customHeight="1" x14ac:dyDescent="0.25">
      <c r="A8" s="25" t="s">
        <v>3</v>
      </c>
      <c r="C8" s="35" t="s">
        <v>13</v>
      </c>
      <c r="D8" s="36">
        <v>40</v>
      </c>
    </row>
    <row r="9" spans="1:4" ht="15" customHeight="1" thickBot="1" x14ac:dyDescent="0.3">
      <c r="A9" s="25" t="s">
        <v>4</v>
      </c>
      <c r="C9" s="33"/>
      <c r="D9" s="33"/>
    </row>
    <row r="10" spans="1:4" ht="16.5" thickTop="1" thickBot="1" x14ac:dyDescent="0.3">
      <c r="A10" s="25" t="s">
        <v>5</v>
      </c>
      <c r="C10" s="49" t="s">
        <v>10</v>
      </c>
      <c r="D10" s="37">
        <f>VLOOKUP(C10,C5:D8,2,FALSE)</f>
        <v>50</v>
      </c>
    </row>
    <row r="11" spans="1:4" ht="15.75" thickTop="1" x14ac:dyDescent="0.25">
      <c r="A11" s="25" t="s">
        <v>6</v>
      </c>
    </row>
    <row r="12" spans="1:4" x14ac:dyDescent="0.25">
      <c r="A12" s="25" t="s">
        <v>225</v>
      </c>
    </row>
    <row r="13" spans="1:4" x14ac:dyDescent="0.25">
      <c r="A13" s="25" t="s">
        <v>226</v>
      </c>
    </row>
    <row r="14" spans="1:4" x14ac:dyDescent="0.25">
      <c r="A14" s="25" t="s">
        <v>7</v>
      </c>
    </row>
  </sheetData>
  <dataValidations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5" x14ac:dyDescent="0.25"/>
  <cols>
    <col min="1" max="1" width="13" customWidth="1"/>
    <col min="2" max="2" width="82.85546875" customWidth="1"/>
    <col min="3" max="4" width="13.28515625" customWidth="1"/>
  </cols>
  <sheetData>
    <row r="1" spans="1:4" ht="60" customHeight="1" x14ac:dyDescent="0.25">
      <c r="A1" s="25" t="s">
        <v>227</v>
      </c>
      <c r="C1" s="56"/>
      <c r="D1" s="62"/>
    </row>
    <row r="2" spans="1:4" ht="15" customHeight="1" x14ac:dyDescent="0.25">
      <c r="A2" s="25" t="s">
        <v>228</v>
      </c>
      <c r="C2" s="61"/>
      <c r="D2" s="61"/>
    </row>
    <row r="3" spans="1:4" x14ac:dyDescent="0.25">
      <c r="A3" s="25" t="s">
        <v>229</v>
      </c>
      <c r="C3" s="31" t="s">
        <v>9</v>
      </c>
      <c r="D3" s="29" t="s">
        <v>21</v>
      </c>
    </row>
    <row r="4" spans="1:4" x14ac:dyDescent="0.25">
      <c r="A4" s="25" t="s">
        <v>230</v>
      </c>
      <c r="C4" s="73" t="s">
        <v>10</v>
      </c>
      <c r="D4" s="74">
        <v>50</v>
      </c>
    </row>
    <row r="5" spans="1:4" x14ac:dyDescent="0.25">
      <c r="A5" s="25" t="s">
        <v>231</v>
      </c>
      <c r="C5" s="73" t="s">
        <v>11</v>
      </c>
      <c r="D5" s="74">
        <v>20</v>
      </c>
    </row>
    <row r="6" spans="1:4" x14ac:dyDescent="0.25">
      <c r="A6" s="25" t="s">
        <v>232</v>
      </c>
      <c r="C6" s="73" t="s">
        <v>12</v>
      </c>
      <c r="D6" s="74">
        <v>60</v>
      </c>
    </row>
    <row r="7" spans="1:4" ht="15" customHeight="1" x14ac:dyDescent="0.25">
      <c r="A7" s="27" t="s">
        <v>233</v>
      </c>
      <c r="C7" s="73" t="s">
        <v>13</v>
      </c>
      <c r="D7" s="74">
        <v>40</v>
      </c>
    </row>
    <row r="8" spans="1:4" ht="15.75" thickBot="1" x14ac:dyDescent="0.3">
      <c r="A8" s="25" t="s">
        <v>3</v>
      </c>
      <c r="C8" s="33"/>
      <c r="D8" s="33"/>
    </row>
    <row r="9" spans="1:4" ht="16.5" thickTop="1" thickBot="1" x14ac:dyDescent="0.3">
      <c r="A9" s="25" t="s">
        <v>4</v>
      </c>
      <c r="C9" s="60" t="s">
        <v>135</v>
      </c>
      <c r="D9" s="37" t="e">
        <f>VLOOKUP(C9,C3:D7,2,FALSE)</f>
        <v>#N/A</v>
      </c>
    </row>
    <row r="10" spans="1:4" ht="15.75" thickTop="1" x14ac:dyDescent="0.25">
      <c r="A10" s="25" t="s">
        <v>5</v>
      </c>
    </row>
    <row r="11" spans="1:4" x14ac:dyDescent="0.25">
      <c r="A11" s="25" t="s">
        <v>234</v>
      </c>
    </row>
    <row r="12" spans="1:4" x14ac:dyDescent="0.25">
      <c r="A12" s="25" t="s">
        <v>235</v>
      </c>
    </row>
    <row r="13" spans="1:4" x14ac:dyDescent="0.25">
      <c r="A13" s="25" t="s">
        <v>236</v>
      </c>
    </row>
    <row r="14" spans="1:4" x14ac:dyDescent="0.25">
      <c r="A14" s="25" t="s">
        <v>7</v>
      </c>
    </row>
    <row r="30" spans="3:4" x14ac:dyDescent="0.25">
      <c r="C30" s="31" t="s">
        <v>9</v>
      </c>
      <c r="D30" s="29" t="s">
        <v>20</v>
      </c>
    </row>
    <row r="31" spans="3:4" x14ac:dyDescent="0.25">
      <c r="C31" s="73" t="s">
        <v>10</v>
      </c>
      <c r="D31" s="74">
        <v>50</v>
      </c>
    </row>
    <row r="32" spans="3:4" x14ac:dyDescent="0.25">
      <c r="C32" s="73" t="s">
        <v>11</v>
      </c>
      <c r="D32" s="74">
        <v>20</v>
      </c>
    </row>
    <row r="33" spans="3:4" x14ac:dyDescent="0.25">
      <c r="C33" s="73" t="s">
        <v>12</v>
      </c>
      <c r="D33" s="74">
        <v>60</v>
      </c>
    </row>
    <row r="34" spans="3:4" x14ac:dyDescent="0.25">
      <c r="C34" s="73" t="s">
        <v>13</v>
      </c>
      <c r="D34" s="74">
        <v>40</v>
      </c>
    </row>
    <row r="35" spans="3:4" ht="15.75" thickBot="1" x14ac:dyDescent="0.3"/>
    <row r="36" spans="3:4" ht="16.5" thickTop="1" thickBot="1" x14ac:dyDescent="0.3">
      <c r="C36" s="60" t="s">
        <v>143</v>
      </c>
      <c r="D36" s="37" t="e">
        <f ca="1">sume(D31:D34)</f>
        <v>#NAME?</v>
      </c>
    </row>
    <row r="37" spans="3:4" ht="15.75" thickTop="1" x14ac:dyDescent="0.25"/>
  </sheetData>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413564-C74F-48EC-8CE2-76A740553B11}">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8CC0E17F-7CBA-4ADA-8914-6A8ED68F4D10}">
  <ds:schemaRefs>
    <ds:schemaRef ds:uri="http://schemas.microsoft.com/sharepoint/v3/contenttype/forms"/>
  </ds:schemaRefs>
</ds:datastoreItem>
</file>

<file path=customXml/itemProps3.xml><?xml version="1.0" encoding="utf-8"?>
<ds:datastoreItem xmlns:ds="http://schemas.openxmlformats.org/officeDocument/2006/customXml" ds:itemID="{A553B3BD-961D-4BD1-B569-DC76FDB59A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2" baseType="variant">
      <vt:variant>
        <vt:lpstr>Planilhas</vt:lpstr>
      </vt:variant>
      <vt:variant>
        <vt:i4>16</vt:i4>
      </vt:variant>
    </vt:vector>
  </HeadingPairs>
  <TitlesOfParts>
    <vt:vector size="16" baseType="lpstr">
      <vt:lpstr>Início</vt:lpstr>
      <vt:lpstr>SOMA</vt:lpstr>
      <vt:lpstr>MÍNIMO e MÁXIMO</vt:lpstr>
      <vt:lpstr>MÉDIA e ALEATÓRIO ENTRE</vt:lpstr>
      <vt:lpstr>CONT VALORES E CONT VAZIOS</vt:lpstr>
      <vt:lpstr>SOMA.SE</vt:lpstr>
      <vt:lpstr>SOMA.SES</vt:lpstr>
      <vt:lpstr>CONT.SE</vt:lpstr>
      <vt:lpstr>CONT.SES</vt:lpstr>
      <vt:lpstr>Data e hora</vt:lpstr>
      <vt:lpstr>Unir texto e números</vt:lpstr>
      <vt:lpstr>Instruções SE</vt:lpstr>
      <vt:lpstr>PROCV</vt:lpstr>
      <vt:lpstr>Funções condicionais</vt:lpstr>
      <vt:lpstr>Assistente de função</vt:lpstr>
      <vt:lpstr>Erros de fórmula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2026-01-22T21:52:42Z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