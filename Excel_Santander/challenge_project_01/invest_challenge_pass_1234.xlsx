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theus\Desktop\Cursos\DIO\Excel_Santander\challenge_project_01\"/>
    </mc:Choice>
  </mc:AlternateContent>
  <xr:revisionPtr revIDLastSave="0" documentId="13_ncr:1_{3E415636-EE9B-498E-8E2E-5F1C0A84CD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on_Invest" sheetId="1" r:id="rId1"/>
    <sheet name="tb_ref" sheetId="3" state="hidden" r:id="rId2"/>
  </sheets>
  <definedNames>
    <definedName name="aport">Khon_Invest!$E$17</definedName>
    <definedName name="patrim_total">Khon_Invest!$E$20</definedName>
    <definedName name="periodo_ano">Khon_Invest!$E$18</definedName>
    <definedName name="tx_carteira">Khon_Invest!$E$13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" l="1"/>
  <c r="E19" i="1"/>
  <c r="D32" i="1"/>
  <c r="A4" i="3"/>
  <c r="A5" i="3"/>
  <c r="D34" i="1" s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E30" i="1"/>
  <c r="D24" i="1"/>
  <c r="E24" i="1" s="1"/>
  <c r="D25" i="1"/>
  <c r="E25" i="1" s="1"/>
  <c r="D26" i="1"/>
  <c r="E26" i="1" s="1"/>
  <c r="D23" i="1"/>
  <c r="E23" i="1" s="1"/>
  <c r="E20" i="1"/>
  <c r="E21" i="1" s="1"/>
  <c r="E14" i="1"/>
  <c r="E33" i="1" l="1"/>
  <c r="D37" i="1"/>
  <c r="E37" i="1" s="1"/>
  <c r="D36" i="1"/>
  <c r="E36" i="1" s="1"/>
  <c r="D35" i="1"/>
  <c r="E35" i="1" s="1"/>
  <c r="E34" i="1"/>
  <c r="E32" i="1"/>
  <c r="D38" i="1" l="1"/>
  <c r="E38" i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<sst xmlns="http://schemas.openxmlformats.org/spreadsheetml/2006/main" count="69" uniqueCount="34">
  <si>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</si>
  <si>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</si>
  <si>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</si>
  <si>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Patrimônio Acumulado?</t>
  </si>
  <si>
    <t>Dividendo mensais?</t>
  </si>
  <si>
    <t>INVESTIMENTO MENSAL</t>
  </si>
  <si>
    <t>Quanto em 10 anos?</t>
  </si>
  <si>
    <t>Quanto em 20 anos?</t>
  </si>
  <si>
    <t>Quanto em 30 anos?</t>
  </si>
  <si>
    <t>DIVIDENDOS</t>
  </si>
  <si>
    <t>CONFIGURAÇÕES</t>
  </si>
  <si>
    <t>Salário Mensal</t>
  </si>
  <si>
    <t>Rendimento da Carteira</t>
  </si>
  <si>
    <t>CENÁRIO MENSAL</t>
  </si>
  <si>
    <t>PERFIL</t>
  </si>
  <si>
    <t>Moderado</t>
  </si>
  <si>
    <t>VALOR A SER INVESTIDO POR MÊS</t>
  </si>
  <si>
    <t>PERCENTUAL SUGERIDO</t>
  </si>
  <si>
    <t>VALORES SUGERIDOS</t>
  </si>
  <si>
    <t>TIPOS DE FIIS</t>
  </si>
  <si>
    <t>PAPEL</t>
  </si>
  <si>
    <t>TIJOLO</t>
  </si>
  <si>
    <t>HÍBRIDOS</t>
  </si>
  <si>
    <t>FOFs</t>
  </si>
  <si>
    <t>DESENVOLVIMENTO</t>
  </si>
  <si>
    <t>HOTELARIAS</t>
  </si>
  <si>
    <t>TOTAL</t>
  </si>
  <si>
    <t>Agressivo</t>
  </si>
  <si>
    <t>%</t>
  </si>
  <si>
    <t>Perfil</t>
  </si>
  <si>
    <t>Conservador</t>
  </si>
  <si>
    <t>ID</t>
  </si>
  <si>
    <t>Sugestão de Investimento (30%)</t>
  </si>
  <si>
    <t>Quanto em 5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</si>
</sst>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7">
    <xf numFmtId="0" fontId="0" fillId="0" borderId="0" xfId="0"/>
    <xf numFmtId="165" fontId="0" fillId="0" borderId="0" xfId="0" applyNumberFormat="1"/>
    <xf numFmtId="165" fontId="3" fillId="0" borderId="0" xfId="0" applyNumberFormat="1" applyFont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0" fontId="0" fillId="0" borderId="18" xfId="0" applyBorder="1"/>
    <xf numFmtId="9" fontId="0" fillId="0" borderId="0" xfId="0" applyNumberFormat="1" applyAlignment="1">
      <alignment horizontal="center"/>
    </xf>
    <xf numFmtId="8" fontId="0" fillId="0" borderId="0" xfId="0" applyNumberFormat="1"/>
    <xf numFmtId="0" fontId="0" fillId="6" borderId="3" xfId="0" applyFill="1" applyBorder="1" applyAlignment="1" applyProtection="1">
      <alignment horizontal="left" indent="2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left" indent="2"/>
      <protection locked="0"/>
    </xf>
    <xf numFmtId="164" fontId="3" fillId="6" borderId="4" xfId="1" applyNumberFormat="1" applyFont="1" applyFill="1" applyBorder="1" applyAlignment="1" applyProtection="1">
      <alignment horizontal="center"/>
    </xf>
    <xf numFmtId="165" fontId="3" fillId="4" borderId="4" xfId="1" applyNumberFormat="1" applyFont="1" applyFill="1" applyBorder="1" applyAlignment="1" applyProtection="1">
      <alignment horizontal="center"/>
    </xf>
    <xf numFmtId="165" fontId="3" fillId="4" borderId="6" xfId="1" applyNumberFormat="1" applyFont="1" applyFill="1" applyBorder="1" applyAlignment="1" applyProtection="1">
      <alignment horizontal="center"/>
    </xf>
    <xf numFmtId="165" fontId="3" fillId="6" borderId="4" xfId="0" applyNumberFormat="1" applyFont="1" applyFill="1" applyBorder="1" applyAlignment="1">
      <alignment horizontal="center"/>
    </xf>
    <xf numFmtId="165" fontId="3" fillId="6" borderId="12" xfId="1" applyNumberFormat="1" applyFont="1" applyFill="1" applyBorder="1" applyAlignment="1" applyProtection="1">
      <alignment horizontal="center"/>
    </xf>
    <xf numFmtId="165" fontId="3" fillId="6" borderId="15" xfId="1" applyNumberFormat="1" applyFont="1" applyFill="1" applyBorder="1" applyAlignment="1" applyProtection="1">
      <alignment horizontal="center"/>
    </xf>
    <xf numFmtId="165" fontId="3" fillId="6" borderId="6" xfId="0" applyNumberFormat="1" applyFon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3" xfId="0" applyBorder="1" applyAlignment="1">
      <alignment horizontal="left" indent="2"/>
    </xf>
    <xf numFmtId="0" fontId="0" fillId="0" borderId="12" xfId="0" applyBorder="1" applyAlignment="1">
      <alignment horizontal="left" indent="2"/>
    </xf>
    <xf numFmtId="0" fontId="0" fillId="6" borderId="5" xfId="0" applyFill="1" applyBorder="1" applyAlignment="1">
      <alignment horizontal="left" indent="2"/>
    </xf>
    <xf numFmtId="0" fontId="0" fillId="6" borderId="15" xfId="0" applyFill="1" applyBorder="1" applyAlignment="1">
      <alignment horizontal="left" indent="2"/>
    </xf>
    <xf numFmtId="0" fontId="5" fillId="3" borderId="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left" indent="2"/>
    </xf>
    <xf numFmtId="0" fontId="0" fillId="0" borderId="11" xfId="0" applyBorder="1" applyAlignment="1">
      <alignment horizontal="left" indent="2"/>
    </xf>
    <xf numFmtId="0" fontId="0" fillId="6" borderId="3" xfId="0" applyFill="1" applyBorder="1" applyAlignment="1" applyProtection="1">
      <alignment horizontal="left" indent="2"/>
      <protection locked="0"/>
    </xf>
    <xf numFmtId="0" fontId="0" fillId="6" borderId="12" xfId="0" applyFill="1" applyBorder="1" applyAlignment="1" applyProtection="1">
      <alignment horizontal="left" indent="2"/>
      <protection locked="0"/>
    </xf>
    <xf numFmtId="0" fontId="0" fillId="4" borderId="3" xfId="0" applyFill="1" applyBorder="1" applyAlignment="1" applyProtection="1">
      <alignment horizontal="left" indent="2"/>
      <protection locked="0"/>
    </xf>
    <xf numFmtId="0" fontId="0" fillId="4" borderId="12" xfId="0" applyFill="1" applyBorder="1" applyAlignment="1" applyProtection="1">
      <alignment horizontal="left" indent="2"/>
      <protection locked="0"/>
    </xf>
    <xf numFmtId="0" fontId="0" fillId="4" borderId="5" xfId="0" applyFill="1" applyBorder="1" applyAlignment="1" applyProtection="1">
      <alignment horizontal="left" indent="2"/>
      <protection locked="0"/>
    </xf>
    <xf numFmtId="0" fontId="0" fillId="4" borderId="15" xfId="0" applyFill="1" applyBorder="1" applyAlignment="1" applyProtection="1">
      <alignment horizontal="left" indent="2"/>
      <protection locked="0"/>
    </xf>
    <xf numFmtId="165" fontId="4" fillId="7" borderId="2" xfId="2" applyNumberFormat="1" applyFont="1" applyFill="1" applyBorder="1" applyAlignment="1" applyProtection="1">
      <alignment horizontal="center"/>
      <protection locked="0"/>
    </xf>
    <xf numFmtId="165" fontId="0" fillId="0" borderId="17" xfId="0" applyNumberFormat="1" applyBorder="1" applyAlignment="1" applyProtection="1">
      <alignment horizontal="center"/>
    </xf>
    <xf numFmtId="0" fontId="2" fillId="7" borderId="1" xfId="2" applyFont="1" applyFill="1" applyBorder="1" applyAlignment="1" applyProtection="1">
      <alignment horizontal="left" indent="2"/>
    </xf>
    <xf numFmtId="0" fontId="2" fillId="7" borderId="14" xfId="2" applyFont="1" applyFill="1" applyBorder="1" applyAlignment="1" applyProtection="1">
      <alignment horizontal="left" indent="2"/>
    </xf>
    <xf numFmtId="0" fontId="0" fillId="0" borderId="19" xfId="0" applyBorder="1" applyAlignment="1" applyProtection="1">
      <alignment horizontal="center"/>
    </xf>
    <xf numFmtId="0" fontId="0" fillId="0" borderId="13" xfId="0" applyBorder="1" applyAlignment="1" applyProtection="1">
      <alignment horizontal="center"/>
    </xf>
    <xf numFmtId="0" fontId="2" fillId="7" borderId="1" xfId="0" applyFont="1" applyFill="1" applyBorder="1" applyAlignment="1" applyProtection="1">
      <alignment horizontal="center"/>
    </xf>
    <xf numFmtId="0" fontId="2" fillId="7" borderId="14" xfId="0" applyFont="1" applyFill="1" applyBorder="1" applyAlignment="1" applyProtection="1">
      <alignment horizontal="center"/>
    </xf>
    <xf numFmtId="0" fontId="2" fillId="7" borderId="2" xfId="0" applyFont="1" applyFill="1" applyBorder="1" applyAlignment="1" applyProtection="1">
      <alignment horizontal="center"/>
    </xf>
    <xf numFmtId="0" fontId="0" fillId="6" borderId="3" xfId="0" applyFill="1" applyBorder="1" applyAlignment="1" applyProtection="1">
      <alignment horizontal="left" indent="2"/>
    </xf>
    <xf numFmtId="10" fontId="0" fillId="6" borderId="12" xfId="0" applyNumberFormat="1" applyFill="1" applyBorder="1" applyAlignment="1" applyProtection="1">
      <alignment horizontal="center"/>
    </xf>
    <xf numFmtId="165" fontId="0" fillId="6" borderId="4" xfId="0" applyNumberFormat="1" applyFill="1" applyBorder="1" applyAlignment="1" applyProtection="1">
      <alignment horizontal="center"/>
    </xf>
    <xf numFmtId="0" fontId="2" fillId="7" borderId="5" xfId="0" applyFont="1" applyFill="1" applyBorder="1" applyAlignment="1" applyProtection="1">
      <alignment horizontal="left" indent="1"/>
    </xf>
    <xf numFmtId="10" fontId="2" fillId="7" borderId="15" xfId="0" applyNumberFormat="1" applyFont="1" applyFill="1" applyBorder="1" applyAlignment="1" applyProtection="1">
      <alignment horizontal="center"/>
    </xf>
    <xf numFmtId="165" fontId="2" fillId="7" borderId="6" xfId="0" applyNumberFormat="1" applyFont="1" applyFill="1" applyBorder="1" applyAlignment="1" applyProtection="1">
      <alignment horizontal="center"/>
    </xf>
    <xf numFmtId="165" fontId="3" fillId="0" borderId="10" xfId="1" applyNumberFormat="1" applyFont="1" applyFill="1" applyBorder="1" applyAlignment="1" applyProtection="1">
      <alignment horizontal="center"/>
      <protection locked="0"/>
    </xf>
    <xf numFmtId="1" fontId="3" fillId="0" borderId="4" xfId="1" applyNumberFormat="1" applyFont="1" applyFill="1" applyBorder="1" applyAlignment="1" applyProtection="1">
      <alignment horizontal="center"/>
      <protection locked="0"/>
    </xf>
    <xf numFmtId="165" fontId="0" fillId="0" borderId="4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</cellXfs>
  <cellStyles count="3">
    <cellStyle name="60% - Accent5" xfId="2" builtinId="48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95249</xdr:rowOff>
    </xdr:from>
    <xdr:to>
      <xdr:col>5</xdr:col>
      <xdr:colOff>542925</xdr:colOff>
      <xdr:row>8</xdr:row>
      <xdr:rowOff>142874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F9219C7-87DF-AEF0-8E20-79D2F2197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25850" r="8455" b="46792"/>
        <a:stretch>
          <a:fillRect/>
        </a:stretch>
      </xdr:blipFill>
      <xdr:spPr>
        <a:xfrm>
          <a:off x="533400" y="285749"/>
          <a:ext cx="6448425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0"/>
  <sheetViews>
    <sheetView showGridLines="0" tabSelected="1" zoomScaleNormal="100" workbookViewId="0">
      <selection activeCell="E29" sqref="E29"/>
    </sheetView>
  </sheetViews>
  <sheetFormatPr defaultColWidth="0" defaultRowHeight="15" zeroHeight="1" x14ac:dyDescent="0.25"/>
  <cols>
    <col min="1" max="1" width="13.42578125" customWidth="1"/>
    <col min="2" max="2" width="2.5703125" hidden="1" customWidth="1"/>
    <col min="3" max="3" width="32" customWidth="1"/>
    <col min="4" max="4" width="31.28515625" bestFit="1" customWidth="1"/>
    <col min="5" max="5" width="19.85546875" bestFit="1" customWidth="1"/>
    <col min="6" max="6" width="9.85546875" customWidth="1"/>
    <col min="7" max="7" width="7.85546875" customWidth="1"/>
    <col min="8" max="8" width="18.85546875" hidden="1"/>
    <col min="9" max="16383" width="9.140625" hidden="1"/>
    <col min="16384" max="16384" width="1.7109375" hidden="1" customWidth="1"/>
  </cols>
  <sheetData>
    <row r="1" spans="3:7" x14ac:dyDescent="0.25"/>
    <row r="2" spans="3:7" x14ac:dyDescent="0.25"/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ht="15.75" thickBot="1" x14ac:dyDescent="0.3"/>
    <row r="11" spans="3:7" ht="21" x14ac:dyDescent="0.35">
      <c r="C11" s="20" t="s">
        <v>10</v>
      </c>
      <c r="D11" s="21"/>
      <c r="E11" s="22"/>
    </row>
    <row r="12" spans="3:7" x14ac:dyDescent="0.25">
      <c r="C12" s="23" t="s">
        <v>11</v>
      </c>
      <c r="D12" s="24"/>
      <c r="E12" s="55">
        <v>3000</v>
      </c>
    </row>
    <row r="13" spans="3:7" x14ac:dyDescent="0.25">
      <c r="C13" s="23" t="s">
        <v>12</v>
      </c>
      <c r="D13" s="24"/>
      <c r="E13" s="56">
        <v>0.01</v>
      </c>
    </row>
    <row r="14" spans="3:7" ht="15.75" thickBot="1" x14ac:dyDescent="0.3">
      <c r="C14" s="25" t="s">
        <v>32</v>
      </c>
      <c r="D14" s="26"/>
      <c r="E14" s="17">
        <f>$E$12*30%</f>
        <v>900</v>
      </c>
    </row>
    <row r="15" spans="3:7" ht="15.75" thickBot="1" x14ac:dyDescent="0.3"/>
    <row r="16" spans="3:7" ht="21" x14ac:dyDescent="0.25">
      <c r="C16" s="27" t="s">
        <v>5</v>
      </c>
      <c r="D16" s="28"/>
      <c r="E16" s="29"/>
      <c r="G16" s="6"/>
    </row>
    <row r="17" spans="2:8" x14ac:dyDescent="0.25">
      <c r="C17" s="30" t="s">
        <v>0</v>
      </c>
      <c r="D17" s="31"/>
      <c r="E17" s="53">
        <v>500</v>
      </c>
    </row>
    <row r="18" spans="2:8" x14ac:dyDescent="0.25">
      <c r="C18" s="23" t="s">
        <v>1</v>
      </c>
      <c r="D18" s="24"/>
      <c r="E18" s="54">
        <v>3</v>
      </c>
    </row>
    <row r="19" spans="2:8" x14ac:dyDescent="0.25">
      <c r="C19" s="32" t="s">
        <v>2</v>
      </c>
      <c r="D19" s="33"/>
      <c r="E19" s="10">
        <f>tx_carteira</f>
        <v>0.01</v>
      </c>
    </row>
    <row r="20" spans="2:8" x14ac:dyDescent="0.25">
      <c r="C20" s="34" t="s">
        <v>3</v>
      </c>
      <c r="D20" s="35"/>
      <c r="E20" s="11">
        <f>FV(tx_carteira,periodo_ano*12,aport*-1)</f>
        <v>21538.439179579051</v>
      </c>
    </row>
    <row r="21" spans="2:8" ht="15.75" thickBot="1" x14ac:dyDescent="0.3">
      <c r="C21" s="36" t="s">
        <v>4</v>
      </c>
      <c r="D21" s="37"/>
      <c r="E21" s="12">
        <f>patrim_total*tx_carteira</f>
        <v>215.38439179579052</v>
      </c>
      <c r="H21" s="1"/>
    </row>
    <row r="22" spans="2:8" ht="21" x14ac:dyDescent="0.25">
      <c r="C22" s="18" t="s">
        <v>13</v>
      </c>
      <c r="D22" s="19"/>
      <c r="E22" s="8" t="s">
        <v>9</v>
      </c>
    </row>
    <row r="23" spans="2:8" x14ac:dyDescent="0.25">
      <c r="B23">
        <v>5</v>
      </c>
      <c r="C23" s="7" t="s">
        <v>33</v>
      </c>
      <c r="D23" s="14">
        <f>FV(tx_carteira,$B23*12,aport*-1)</f>
        <v>40834.834928204567</v>
      </c>
      <c r="E23" s="13">
        <f>$D23*tx_carteira</f>
        <v>408.34834928204566</v>
      </c>
    </row>
    <row r="24" spans="2:8" x14ac:dyDescent="0.25">
      <c r="B24">
        <v>10</v>
      </c>
      <c r="C24" s="7" t="s">
        <v>6</v>
      </c>
      <c r="D24" s="14">
        <f>FV(tx_carteira,$B24*12,aport*-1)</f>
        <v>115019.34472868349</v>
      </c>
      <c r="E24" s="13">
        <f>$D24*tx_carteira</f>
        <v>1150.193447286835</v>
      </c>
    </row>
    <row r="25" spans="2:8" x14ac:dyDescent="0.25">
      <c r="B25">
        <v>20</v>
      </c>
      <c r="C25" s="7" t="s">
        <v>7</v>
      </c>
      <c r="D25" s="14">
        <f>FV(tx_carteira,$B25*12,aport*-1)</f>
        <v>494627.68269368151</v>
      </c>
      <c r="E25" s="13">
        <f>$D25*tx_carteira</f>
        <v>4946.2768269368153</v>
      </c>
    </row>
    <row r="26" spans="2:8" ht="15.75" thickBot="1" x14ac:dyDescent="0.3">
      <c r="B26">
        <v>30</v>
      </c>
      <c r="C26" s="9" t="s">
        <v>8</v>
      </c>
      <c r="D26" s="15">
        <f>FV(tx_carteira,$B26*12,aport*-1)</f>
        <v>1747482.0663842531</v>
      </c>
      <c r="E26" s="16">
        <f>$D26*tx_carteira</f>
        <v>17474.820663842533</v>
      </c>
    </row>
    <row r="27" spans="2:8" x14ac:dyDescent="0.25">
      <c r="D27" s="3"/>
      <c r="E27" s="2"/>
    </row>
    <row r="28" spans="2:8" ht="15.75" thickBot="1" x14ac:dyDescent="0.3">
      <c r="D28" s="3"/>
      <c r="E28" s="2"/>
    </row>
    <row r="29" spans="2:8" x14ac:dyDescent="0.25">
      <c r="C29" s="40" t="s">
        <v>14</v>
      </c>
      <c r="D29" s="41"/>
      <c r="E29" s="38" t="s">
        <v>27</v>
      </c>
    </row>
    <row r="30" spans="2:8" ht="15.75" thickBot="1" x14ac:dyDescent="0.3">
      <c r="C30" s="42" t="s">
        <v>16</v>
      </c>
      <c r="D30" s="43"/>
      <c r="E30" s="39">
        <f>aport</f>
        <v>500</v>
      </c>
    </row>
    <row r="31" spans="2:8" x14ac:dyDescent="0.25">
      <c r="C31" s="44" t="s">
        <v>19</v>
      </c>
      <c r="D31" s="45" t="s">
        <v>17</v>
      </c>
      <c r="E31" s="46" t="s">
        <v>18</v>
      </c>
    </row>
    <row r="32" spans="2:8" x14ac:dyDescent="0.25">
      <c r="C32" s="47" t="s">
        <v>20</v>
      </c>
      <c r="D32" s="48">
        <f>VLOOKUP($E$29&amp;"-"&amp;C32,tb_ref!$A$1:$D$20,4,FALSE)</f>
        <v>0.5</v>
      </c>
      <c r="E32" s="49">
        <f>$E$30*D32</f>
        <v>250</v>
      </c>
    </row>
    <row r="33" spans="3:5" x14ac:dyDescent="0.25">
      <c r="C33" s="47" t="s">
        <v>21</v>
      </c>
      <c r="D33" s="48">
        <f>VLOOKUP($E$29&amp;"-"&amp;C33,tb_ref!$A$1:$D$20,4,FALSE)</f>
        <v>0.1</v>
      </c>
      <c r="E33" s="49">
        <f>$E$30*D33</f>
        <v>50</v>
      </c>
    </row>
    <row r="34" spans="3:5" x14ac:dyDescent="0.25">
      <c r="C34" s="47" t="s">
        <v>22</v>
      </c>
      <c r="D34" s="48">
        <f>VLOOKUP($E$29&amp;"-"&amp;C34,tb_ref!$A$1:$D$20,4,FALSE)</f>
        <v>0.05</v>
      </c>
      <c r="E34" s="49">
        <f>$E$30*D34</f>
        <v>25</v>
      </c>
    </row>
    <row r="35" spans="3:5" x14ac:dyDescent="0.25">
      <c r="C35" s="47" t="s">
        <v>23</v>
      </c>
      <c r="D35" s="48">
        <f>VLOOKUP($E$29&amp;"-"&amp;C35,tb_ref!$A$1:$D$20,4,FALSE)</f>
        <v>0.05</v>
      </c>
      <c r="E35" s="49">
        <f t="shared" ref="E35:E37" si="0">$E$30*D35</f>
        <v>25</v>
      </c>
    </row>
    <row r="36" spans="3:5" x14ac:dyDescent="0.25">
      <c r="C36" s="47" t="s">
        <v>24</v>
      </c>
      <c r="D36" s="48">
        <f>VLOOKUP($E$29&amp;"-"&amp;C36,tb_ref!$A$1:$D$20,4,FALSE)</f>
        <v>0.2</v>
      </c>
      <c r="E36" s="49">
        <f t="shared" si="0"/>
        <v>100</v>
      </c>
    </row>
    <row r="37" spans="3:5" x14ac:dyDescent="0.25">
      <c r="C37" s="47" t="s">
        <v>25</v>
      </c>
      <c r="D37" s="48">
        <f>VLOOKUP($E$29&amp;"-"&amp;C37,tb_ref!$A$1:$D$20,4,FALSE)</f>
        <v>0.1</v>
      </c>
      <c r="E37" s="49">
        <f t="shared" si="0"/>
        <v>50</v>
      </c>
    </row>
    <row r="38" spans="3:5" ht="15.75" thickBot="1" x14ac:dyDescent="0.3">
      <c r="C38" s="50" t="s">
        <v>26</v>
      </c>
      <c r="D38" s="51">
        <f>SUM(D32:D37)</f>
        <v>1.0000000000000002</v>
      </c>
      <c r="E38" s="52">
        <f>SUM(E32:E37)</f>
        <v>500</v>
      </c>
    </row>
    <row r="39" spans="3:5" x14ac:dyDescent="0.25"/>
    <row r="40" spans="3:5" x14ac:dyDescent="0.25"/>
  </sheetData>
  <sheetProtection algorithmName="SHA-512" hashValue="1dkldVEmw4KO+DM9x/Ut9INCZMiW0RdwwrzWa/lyT6V0zP3T5wTALv6s3xsxfkKmAx5ReVIeHfkT+HAHoaOVpg==" saltValue="3vnIAObOhZuMzojjG2Mi/A==" spinCount="100000" sheet="1" objects="1" scenarios="1" selectLockedCells="1"/>
  <mergeCells count="13">
    <mergeCell ref="C30:D30"/>
    <mergeCell ref="C22:D22"/>
    <mergeCell ref="C11:E11"/>
    <mergeCell ref="C12:D12"/>
    <mergeCell ref="C13:D13"/>
    <mergeCell ref="C14:D14"/>
    <mergeCell ref="C29:D29"/>
    <mergeCell ref="C16:E16"/>
    <mergeCell ref="C17:D17"/>
    <mergeCell ref="C18:D18"/>
    <mergeCell ref="C19:D19"/>
    <mergeCell ref="C20:D20"/>
    <mergeCell ref="C21:D21"/>
  </mergeCells>
  <dataValidations count="1">
    <dataValidation type="list" allowBlank="1" showInputMessage="1" showErrorMessage="1" sqref="E29" xr:uid="{307B49E9-DBBD-4AE9-9277-397F2EBD1A34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FA41-71C5-496F-956F-953113EE029E}">
  <dimension ref="A2:D20"/>
  <sheetViews>
    <sheetView workbookViewId="0">
      <selection activeCell="A23" sqref="A23"/>
    </sheetView>
  </sheetViews>
  <sheetFormatPr defaultRowHeight="15" x14ac:dyDescent="0.25"/>
  <cols>
    <col min="1" max="1" width="31.28515625" bestFit="1" customWidth="1"/>
    <col min="2" max="2" width="23.42578125" customWidth="1"/>
    <col min="3" max="3" width="19" bestFit="1" customWidth="1"/>
  </cols>
  <sheetData>
    <row r="2" spans="1:4" x14ac:dyDescent="0.25">
      <c r="A2" t="s">
        <v>31</v>
      </c>
      <c r="B2" t="s">
        <v>29</v>
      </c>
      <c r="C2" t="s">
        <v>19</v>
      </c>
      <c r="D2" t="s">
        <v>28</v>
      </c>
    </row>
    <row r="3" spans="1:4" x14ac:dyDescent="0.25">
      <c r="A3" t="str">
        <f>B3&amp;"-"&amp;C3</f>
        <v>Conservador-PAPEL</v>
      </c>
      <c r="B3" t="s">
        <v>30</v>
      </c>
      <c r="C3" t="s">
        <v>20</v>
      </c>
      <c r="D3" s="5">
        <v>0.3</v>
      </c>
    </row>
    <row r="4" spans="1:4" x14ac:dyDescent="0.25">
      <c r="A4" t="str">
        <f t="shared" ref="A4:A20" si="0">B4&amp;"-"&amp;C4</f>
        <v>Conservador-TIJOLO</v>
      </c>
      <c r="B4" t="s">
        <v>30</v>
      </c>
      <c r="C4" t="s">
        <v>21</v>
      </c>
      <c r="D4" s="5">
        <v>0.5</v>
      </c>
    </row>
    <row r="5" spans="1:4" x14ac:dyDescent="0.25">
      <c r="A5" t="str">
        <f t="shared" si="0"/>
        <v>Conservador-HÍBRIDOS</v>
      </c>
      <c r="B5" t="s">
        <v>30</v>
      </c>
      <c r="C5" t="s">
        <v>22</v>
      </c>
      <c r="D5" s="5">
        <v>0.1</v>
      </c>
    </row>
    <row r="6" spans="1:4" x14ac:dyDescent="0.25">
      <c r="A6" t="str">
        <f t="shared" si="0"/>
        <v>Conservador-FOFs</v>
      </c>
      <c r="B6" t="s">
        <v>30</v>
      </c>
      <c r="C6" t="s">
        <v>23</v>
      </c>
      <c r="D6" s="5">
        <v>0.1</v>
      </c>
    </row>
    <row r="7" spans="1:4" x14ac:dyDescent="0.25">
      <c r="A7" t="str">
        <f t="shared" si="0"/>
        <v>Conservador-DESENVOLVIMENTO</v>
      </c>
      <c r="B7" t="s">
        <v>30</v>
      </c>
      <c r="C7" t="s">
        <v>24</v>
      </c>
      <c r="D7" s="5">
        <v>0</v>
      </c>
    </row>
    <row r="8" spans="1:4" ht="15.75" thickBot="1" x14ac:dyDescent="0.3">
      <c r="A8" s="4" t="str">
        <f t="shared" si="0"/>
        <v>Conservador-HOTELARIAS</v>
      </c>
      <c r="B8" s="4" t="s">
        <v>30</v>
      </c>
      <c r="C8" s="4" t="s">
        <v>25</v>
      </c>
      <c r="D8" s="5">
        <v>0</v>
      </c>
    </row>
    <row r="9" spans="1:4" x14ac:dyDescent="0.25">
      <c r="A9" t="str">
        <f t="shared" si="0"/>
        <v>Agressivo-PAPEL</v>
      </c>
      <c r="B9" t="s">
        <v>27</v>
      </c>
      <c r="C9" t="s">
        <v>20</v>
      </c>
      <c r="D9" s="5">
        <v>0.5</v>
      </c>
    </row>
    <row r="10" spans="1:4" x14ac:dyDescent="0.25">
      <c r="A10" t="str">
        <f t="shared" si="0"/>
        <v>Agressivo-TIJOLO</v>
      </c>
      <c r="B10" t="s">
        <v>27</v>
      </c>
      <c r="C10" t="s">
        <v>21</v>
      </c>
      <c r="D10" s="5">
        <v>0.1</v>
      </c>
    </row>
    <row r="11" spans="1:4" x14ac:dyDescent="0.25">
      <c r="A11" t="str">
        <f t="shared" si="0"/>
        <v>Agressivo-HÍBRIDOS</v>
      </c>
      <c r="B11" t="s">
        <v>27</v>
      </c>
      <c r="C11" t="s">
        <v>22</v>
      </c>
      <c r="D11" s="5">
        <v>0.05</v>
      </c>
    </row>
    <row r="12" spans="1:4" x14ac:dyDescent="0.25">
      <c r="A12" t="str">
        <f t="shared" si="0"/>
        <v>Agressivo-FOFs</v>
      </c>
      <c r="B12" t="s">
        <v>27</v>
      </c>
      <c r="C12" t="s">
        <v>23</v>
      </c>
      <c r="D12" s="5">
        <v>0.05</v>
      </c>
    </row>
    <row r="13" spans="1:4" x14ac:dyDescent="0.25">
      <c r="A13" t="str">
        <f t="shared" si="0"/>
        <v>Agressivo-DESENVOLVIMENTO</v>
      </c>
      <c r="B13" t="s">
        <v>27</v>
      </c>
      <c r="C13" t="s">
        <v>24</v>
      </c>
      <c r="D13" s="5">
        <v>0.2</v>
      </c>
    </row>
    <row r="14" spans="1:4" ht="15.75" thickBot="1" x14ac:dyDescent="0.3">
      <c r="A14" s="4" t="str">
        <f t="shared" si="0"/>
        <v>Agressivo-HOTELARIAS</v>
      </c>
      <c r="B14" s="4" t="s">
        <v>27</v>
      </c>
      <c r="C14" s="4" t="s">
        <v>25</v>
      </c>
      <c r="D14" s="5">
        <v>0.1</v>
      </c>
    </row>
    <row r="15" spans="1:4" x14ac:dyDescent="0.25">
      <c r="A15" t="str">
        <f t="shared" si="0"/>
        <v>Moderado-PAPEL</v>
      </c>
      <c r="B15" t="s">
        <v>15</v>
      </c>
      <c r="C15" t="s">
        <v>20</v>
      </c>
      <c r="D15" s="5">
        <v>0.2</v>
      </c>
    </row>
    <row r="16" spans="1:4" x14ac:dyDescent="0.25">
      <c r="A16" t="str">
        <f t="shared" si="0"/>
        <v>Moderado-TIJOLO</v>
      </c>
      <c r="B16" t="s">
        <v>15</v>
      </c>
      <c r="C16" t="s">
        <v>21</v>
      </c>
      <c r="D16" s="5">
        <v>0.4</v>
      </c>
    </row>
    <row r="17" spans="1:4" x14ac:dyDescent="0.25">
      <c r="A17" t="str">
        <f t="shared" si="0"/>
        <v>Moderado-HÍBRIDOS</v>
      </c>
      <c r="B17" t="s">
        <v>15</v>
      </c>
      <c r="C17" t="s">
        <v>22</v>
      </c>
      <c r="D17" s="5">
        <v>0.1</v>
      </c>
    </row>
    <row r="18" spans="1:4" x14ac:dyDescent="0.25">
      <c r="A18" t="str">
        <f t="shared" si="0"/>
        <v>Moderado-FOFs</v>
      </c>
      <c r="B18" t="s">
        <v>15</v>
      </c>
      <c r="C18" t="s">
        <v>23</v>
      </c>
      <c r="D18" s="5">
        <v>0.1</v>
      </c>
    </row>
    <row r="19" spans="1:4" x14ac:dyDescent="0.25">
      <c r="A19" t="str">
        <f t="shared" si="0"/>
        <v>Moderado-DESENVOLVIMENTO</v>
      </c>
      <c r="B19" t="s">
        <v>15</v>
      </c>
      <c r="C19" t="s">
        <v>24</v>
      </c>
      <c r="D19" s="5">
        <v>0.1</v>
      </c>
    </row>
    <row r="20" spans="1:4" x14ac:dyDescent="0.25">
      <c r="A20" t="str">
        <f t="shared" si="0"/>
        <v>Moderado-HOTELARIAS</v>
      </c>
      <c r="B20" t="s">
        <v>15</v>
      </c>
      <c r="C20" t="s">
        <v>25</v>
      </c>
      <c r="D20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Khon_Invest</vt:lpstr>
      <vt:lpstr>tb_ref</vt:lpstr>
      <vt:lpstr>aport</vt:lpstr>
      <vt:lpstr>patrim_total</vt:lpstr>
      <vt:lpstr>periodo_ano</vt:lpstr>
      <vt:lpstr>tx_carteira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>Matheus Lopes</cp:lastModifiedBy>
  <dcterms:created xsi:type="dcterms:W3CDTF">2015-06-05T18:19:34Z</dcterms:created>
  <dcterms:modified xsi:type="dcterms:W3CDTF">2026-02-25T21:28:31Z</dcterms:modified>
</cp:coreProperties>
</file>